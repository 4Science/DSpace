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16"/>
  <workbookPr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3613\AC\Temp\"/>
    </mc:Choice>
  </mc:AlternateContent>
  <xr:revisionPtr revIDLastSave="0" documentId="8_{E1C6B606-5D64-4ABB-ABBE-34281D769A77}" xr6:coauthVersionLast="47" xr6:coauthVersionMax="47" xr10:uidLastSave="{00000000-0000-0000-0000-000000000000}"/>
  <bookViews>
    <workbookView xWindow="-60" yWindow="-60" windowWidth="15480" windowHeight="11640" tabRatio="500" firstSheet="2" activeTab="2" xr2:uid="{00000000-000D-0000-FFFF-FFFF00000000}"/>
  </bookViews>
  <sheets>
    <sheet name="tab" sheetId="1" r:id="rId1"/>
    <sheet name="tab2box" sheetId="2" r:id="rId2"/>
    <sheet name="box" sheetId="3" r:id="rId3"/>
    <sheet name="box2metadata" sheetId="4" r:id="rId4"/>
    <sheet name="metadatagroups" sheetId="5" r:id="rId5"/>
    <sheet name="box2metrics" sheetId="6" r:id="rId6"/>
    <sheet name="box2hierarchicalvocabulary" sheetId="7" r:id="rId7"/>
    <sheet name="tabpolicy" sheetId="8" r:id="rId8"/>
    <sheet name="boxpolicy" sheetId="9" r:id="rId9"/>
    <sheet name="utilsdata" sheetId="10" r:id="rId10"/>
    <sheet name="tab_i18n" sheetId="11" r:id="rId11"/>
    <sheet name="box_i18n" sheetId="12" r:id="rId12"/>
    <sheet name="metadata_i18n" sheetId="13" r:id="rId13"/>
    <sheet name="metadatagroup_i18n" sheetId="14" r:id="rId14"/>
  </sheets>
  <definedNames>
    <definedName name="_xlnm._FilterDatabase" localSheetId="3" hidden="1">box2metadata!$A$1:$P$134</definedName>
    <definedName name="Excel_BuiltIn__FilterDatabase" localSheetId="3">box2metadata!$A$1:$P$109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12" l="1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2" i="13"/>
  <c r="B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B82" i="13"/>
  <c r="B83" i="13"/>
  <c r="B84" i="13"/>
  <c r="B85" i="13"/>
  <c r="B86" i="13"/>
  <c r="B87" i="13"/>
  <c r="B88" i="13"/>
  <c r="B89" i="13"/>
  <c r="B90" i="13"/>
  <c r="B91" i="13"/>
  <c r="B92" i="13"/>
  <c r="B93" i="13"/>
  <c r="B94" i="13"/>
  <c r="B95" i="13"/>
  <c r="B96" i="13"/>
  <c r="B97" i="13"/>
  <c r="B98" i="13"/>
  <c r="B99" i="13"/>
  <c r="B100" i="13"/>
  <c r="B101" i="13"/>
  <c r="B102" i="13"/>
  <c r="B103" i="13"/>
  <c r="B104" i="13"/>
  <c r="B105" i="13"/>
  <c r="B106" i="13"/>
  <c r="B107" i="13"/>
  <c r="B108" i="13"/>
  <c r="B109" i="13"/>
  <c r="B110" i="13"/>
  <c r="B111" i="13"/>
  <c r="B112" i="13"/>
  <c r="B113" i="13"/>
  <c r="B114" i="13"/>
  <c r="B115" i="13"/>
  <c r="B116" i="13"/>
  <c r="B117" i="13"/>
  <c r="B118" i="13"/>
  <c r="B119" i="13"/>
  <c r="B120" i="13"/>
  <c r="B121" i="13"/>
  <c r="B122" i="13"/>
  <c r="B123" i="13"/>
  <c r="B124" i="13"/>
  <c r="B125" i="13"/>
  <c r="B126" i="13"/>
  <c r="B127" i="13"/>
  <c r="B128" i="13"/>
  <c r="B129" i="13"/>
  <c r="B130" i="13"/>
  <c r="B131" i="13"/>
  <c r="B132" i="13"/>
  <c r="B133" i="13"/>
  <c r="B134" i="13"/>
  <c r="B135" i="13"/>
  <c r="B136" i="13"/>
  <c r="B137" i="13"/>
  <c r="B138" i="13"/>
  <c r="B139" i="13"/>
  <c r="B140" i="13"/>
  <c r="B141" i="13"/>
  <c r="B142" i="13"/>
  <c r="B143" i="13"/>
  <c r="B144" i="13"/>
  <c r="B145" i="13"/>
  <c r="B146" i="13"/>
  <c r="B147" i="13"/>
  <c r="B148" i="13"/>
  <c r="B149" i="13"/>
  <c r="B150" i="13"/>
  <c r="B151" i="13"/>
  <c r="B152" i="13"/>
  <c r="B153" i="13"/>
  <c r="B154" i="13"/>
  <c r="B155" i="13"/>
  <c r="B156" i="13"/>
  <c r="B157" i="13"/>
  <c r="B158" i="13"/>
  <c r="B159" i="13"/>
  <c r="B160" i="13"/>
  <c r="B2" i="14"/>
  <c r="B3" i="14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2" i="1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</calcChain>
</file>

<file path=xl/sharedStrings.xml><?xml version="1.0" encoding="utf-8"?>
<sst xmlns="http://schemas.openxmlformats.org/spreadsheetml/2006/main" count="2258" uniqueCount="413">
  <si>
    <t>ENTITY</t>
  </si>
  <si>
    <t>SHORTNAME</t>
  </si>
  <si>
    <t>LABEL</t>
  </si>
  <si>
    <t>PRIORITY</t>
  </si>
  <si>
    <t>LEADING</t>
  </si>
  <si>
    <t>SECURITY</t>
  </si>
  <si>
    <t>Person</t>
  </si>
  <si>
    <t>details</t>
  </si>
  <si>
    <t>Profile</t>
  </si>
  <si>
    <t>0</t>
  </si>
  <si>
    <t>y</t>
  </si>
  <si>
    <t>PUBLIC</t>
  </si>
  <si>
    <t>creators</t>
  </si>
  <si>
    <t>creator of</t>
  </si>
  <si>
    <t>2</t>
  </si>
  <si>
    <t>n</t>
  </si>
  <si>
    <t>contributors</t>
  </si>
  <si>
    <t>contributor of</t>
  </si>
  <si>
    <t>4</t>
  </si>
  <si>
    <t>fonds</t>
  </si>
  <si>
    <t>Fonds</t>
  </si>
  <si>
    <t>6</t>
  </si>
  <si>
    <t>personeditors</t>
  </si>
  <si>
    <t>Person Editors</t>
  </si>
  <si>
    <t>8</t>
  </si>
  <si>
    <t>personexternallinks</t>
  </si>
  <si>
    <t>External Links</t>
  </si>
  <si>
    <t>10</t>
  </si>
  <si>
    <t>OrgUnit</t>
  </si>
  <si>
    <t>maininformation</t>
  </si>
  <si>
    <t>Information</t>
  </si>
  <si>
    <t>publications</t>
  </si>
  <si>
    <t>Publications</t>
  </si>
  <si>
    <t>projects</t>
  </si>
  <si>
    <t>Projects</t>
  </si>
  <si>
    <t>people</t>
  </si>
  <si>
    <t>People</t>
  </si>
  <si>
    <t>organizationeditors</t>
  </si>
  <si>
    <t>Organization Editors</t>
  </si>
  <si>
    <t>Project</t>
  </si>
  <si>
    <t>Event</t>
  </si>
  <si>
    <t>Details</t>
  </si>
  <si>
    <t>documents</t>
  </si>
  <si>
    <t>Documents</t>
  </si>
  <si>
    <t>eventpeople</t>
  </si>
  <si>
    <t>eventexternallinks</t>
  </si>
  <si>
    <t>Publication</t>
  </si>
  <si>
    <t>Fond</t>
  </si>
  <si>
    <t>Fond Details</t>
  </si>
  <si>
    <t>fondcontext</t>
  </si>
  <si>
    <t>Fond Context</t>
  </si>
  <si>
    <t>fondevents</t>
  </si>
  <si>
    <t>Fond Events</t>
  </si>
  <si>
    <t>fondeditors</t>
  </si>
  <si>
    <t>FondEditors</t>
  </si>
  <si>
    <t>Place</t>
  </si>
  <si>
    <t>Place Details</t>
  </si>
  <si>
    <t>placeevents</t>
  </si>
  <si>
    <t>Place Events</t>
  </si>
  <si>
    <t>placeexternallinks</t>
  </si>
  <si>
    <t>Family</t>
  </si>
  <si>
    <t>Family details</t>
  </si>
  <si>
    <t>familyeditors</t>
  </si>
  <si>
    <t>Family Editors</t>
  </si>
  <si>
    <t>Journal_Fond</t>
  </si>
  <si>
    <t>Journal Fond Details</t>
  </si>
  <si>
    <t>journalfondcontext</t>
  </si>
  <si>
    <t>Journal Fond Context</t>
  </si>
  <si>
    <t>News</t>
  </si>
  <si>
    <t>Path</t>
  </si>
  <si>
    <t>Path Details</t>
  </si>
  <si>
    <t>Archival_Materials</t>
  </si>
  <si>
    <t>Aggregation</t>
  </si>
  <si>
    <t>Aggregation Details</t>
  </si>
  <si>
    <t>aggregationcontext</t>
  </si>
  <si>
    <t>Aggregation Context</t>
  </si>
  <si>
    <t>Static_Page</t>
  </si>
  <si>
    <t>Journal_Issue</t>
  </si>
  <si>
    <t>TAB</t>
  </si>
  <si>
    <t>ROW</t>
  </si>
  <si>
    <t>ROW_STYLE</t>
  </si>
  <si>
    <t>CELL_STYLE</t>
  </si>
  <si>
    <t>BOXES</t>
  </si>
  <si>
    <t xml:space="preserve">details </t>
  </si>
  <si>
    <t xml:space="preserve">description </t>
  </si>
  <si>
    <t>SubOrgUnits</t>
  </si>
  <si>
    <t>primarydata</t>
  </si>
  <si>
    <t>profile</t>
  </si>
  <si>
    <t>contributedpublications</t>
  </si>
  <si>
    <t>fond</t>
  </si>
  <si>
    <t>personlinks</t>
  </si>
  <si>
    <t>bibliographiclinks</t>
  </si>
  <si>
    <t>eventdescription</t>
  </si>
  <si>
    <t>eventdocuments</t>
  </si>
  <si>
    <t>eventlinks</t>
  </si>
  <si>
    <t>hierarchy</t>
  </si>
  <si>
    <t>fonddescription</t>
  </si>
  <si>
    <t xml:space="preserve">Fond </t>
  </si>
  <si>
    <t>fondpublications</t>
  </si>
  <si>
    <t>fondchildren</t>
  </si>
  <si>
    <t>fondindex</t>
  </si>
  <si>
    <t>fondboxtree</t>
  </si>
  <si>
    <t>fonddates</t>
  </si>
  <si>
    <t>placedescription</t>
  </si>
  <si>
    <t>placelinks</t>
  </si>
  <si>
    <t>familydescription</t>
  </si>
  <si>
    <t>journalfonddescription</t>
  </si>
  <si>
    <t>journalfondindex</t>
  </si>
  <si>
    <t>journalfondchildren</t>
  </si>
  <si>
    <t>journalfondboxtree</t>
  </si>
  <si>
    <t>newsdescription</t>
  </si>
  <si>
    <t>pathdescription</t>
  </si>
  <si>
    <t>pathpublications</t>
  </si>
  <si>
    <t>aggregationdescription</t>
  </si>
  <si>
    <t>aggregationindex</t>
  </si>
  <si>
    <t>aggregationchildren</t>
  </si>
  <si>
    <t>aggregationboxtree</t>
  </si>
  <si>
    <t>COLLAPSED</t>
  </si>
  <si>
    <t>TYPE</t>
  </si>
  <si>
    <t>CONTAINER</t>
  </si>
  <si>
    <t>MINOR</t>
  </si>
  <si>
    <t>STYLE</t>
  </si>
  <si>
    <t>heading</t>
  </si>
  <si>
    <t>RELATION</t>
  </si>
  <si>
    <t>researchoutputs</t>
  </si>
  <si>
    <t>qualifications</t>
  </si>
  <si>
    <t>Professional Qualifications</t>
  </si>
  <si>
    <t>media</t>
  </si>
  <si>
    <t>Media Contact Directory</t>
  </si>
  <si>
    <t>ORCID_SYNC_QUEUE</t>
  </si>
  <si>
    <t>orcidsyncqueue</t>
  </si>
  <si>
    <t>ORCID Registry Queue</t>
  </si>
  <si>
    <t>OWNER ONLY</t>
  </si>
  <si>
    <t>namecard</t>
  </si>
  <si>
    <t>Name Card</t>
  </si>
  <si>
    <t>ORCID_SYNC_SETTINGS</t>
  </si>
  <si>
    <t>orcidsyncsettings</t>
  </si>
  <si>
    <t>ORCID Synchronization settings</t>
  </si>
  <si>
    <t>researcherprofile</t>
  </si>
  <si>
    <t>ORCID_AUTHORIZATIONS</t>
  </si>
  <si>
    <t>orcidauthorizations</t>
  </si>
  <si>
    <t>ORCID Authorizations</t>
  </si>
  <si>
    <t>METRICS</t>
  </si>
  <si>
    <t>metrics</t>
  </si>
  <si>
    <t>Metrics</t>
  </si>
  <si>
    <t>usagemetrics</t>
  </si>
  <si>
    <t>Usage Metrics</t>
  </si>
  <si>
    <t>secure</t>
  </si>
  <si>
    <t>Secured box</t>
  </si>
  <si>
    <t>CUSTOM DATA</t>
  </si>
  <si>
    <t>HIERARCHY</t>
  </si>
  <si>
    <t>affiliation</t>
  </si>
  <si>
    <t>Affiliation</t>
  </si>
  <si>
    <t>rpprojects</t>
  </si>
  <si>
    <t>OrgUnit's Researchers projects</t>
  </si>
  <si>
    <t>OrgUnit's Publications</t>
  </si>
  <si>
    <t>rppublications</t>
  </si>
  <si>
    <t>OrgUnit's Researchers publications</t>
  </si>
  <si>
    <t>OrgUnit's Researchers</t>
  </si>
  <si>
    <t>OrgUnit funded Projects</t>
  </si>
  <si>
    <t>description</t>
  </si>
  <si>
    <t>Description</t>
  </si>
  <si>
    <t>organizations</t>
  </si>
  <si>
    <t>orgcard</t>
  </si>
  <si>
    <t>Card</t>
  </si>
  <si>
    <t>Research Outputs</t>
  </si>
  <si>
    <t>fundings</t>
  </si>
  <si>
    <t>Fundings</t>
  </si>
  <si>
    <t>Primary Data</t>
  </si>
  <si>
    <t>projectcard</t>
  </si>
  <si>
    <t>Project Card</t>
  </si>
  <si>
    <t>Funding</t>
  </si>
  <si>
    <t>financialdata</t>
  </si>
  <si>
    <t>Financial Data</t>
  </si>
  <si>
    <t>Journal</t>
  </si>
  <si>
    <t>Journal description</t>
  </si>
  <si>
    <t>Equipment</t>
  </si>
  <si>
    <t>Equipment description</t>
  </si>
  <si>
    <t>altmetrics</t>
  </si>
  <si>
    <t>Alternative Metrics</t>
  </si>
  <si>
    <t>Hierarchy</t>
  </si>
  <si>
    <t>Patent</t>
  </si>
  <si>
    <t>Product</t>
  </si>
  <si>
    <t>mainformation</t>
  </si>
  <si>
    <t>Main informations</t>
  </si>
  <si>
    <t>references</t>
  </si>
  <si>
    <t>References</t>
  </si>
  <si>
    <t>BOX</t>
  </si>
  <si>
    <t>CELL</t>
  </si>
  <si>
    <t>FIELDTYPE</t>
  </si>
  <si>
    <t>METADATA</t>
  </si>
  <si>
    <t>VALUE</t>
  </si>
  <si>
    <t>BUNDLE</t>
  </si>
  <si>
    <t>LABEL_AS_HEADING</t>
  </si>
  <si>
    <t>RENDERING</t>
  </si>
  <si>
    <t>VALUES_INLINE</t>
  </si>
  <si>
    <t>STYLE_LABEL</t>
  </si>
  <si>
    <t>STYLE_VALUE</t>
  </si>
  <si>
    <t>organization.address.addressCountry</t>
  </si>
  <si>
    <t>Country</t>
  </si>
  <si>
    <t>font-weight-bold col-3</t>
  </si>
  <si>
    <t>organization.address.addressLocality</t>
  </si>
  <si>
    <t>City</t>
  </si>
  <si>
    <t>dc.description.abstract</t>
  </si>
  <si>
    <t>longtext</t>
  </si>
  <si>
    <t>dc.title</t>
  </si>
  <si>
    <t>px-2</t>
  </si>
  <si>
    <t>BITSTREAM</t>
  </si>
  <si>
    <t>dc.type</t>
  </si>
  <si>
    <t>logo</t>
  </si>
  <si>
    <t>ORIGINAL</t>
  </si>
  <si>
    <t>thumbnail</t>
  </si>
  <si>
    <t>col-3</t>
  </si>
  <si>
    <t>crisou.director</t>
  </si>
  <si>
    <t>Director</t>
  </si>
  <si>
    <t>crisref</t>
  </si>
  <si>
    <r>
      <rPr>
        <sz val="10"/>
        <rFont val="Arial"/>
        <family val="2"/>
      </rPr>
      <t>organization.</t>
    </r>
    <r>
      <rPr>
        <sz val="10"/>
        <rFont val="Arial"/>
      </rPr>
      <t>parentOrganization</t>
    </r>
  </si>
  <si>
    <t>Parent Organisation</t>
  </si>
  <si>
    <r>
      <rPr>
        <sz val="10"/>
        <rFont val="Arial"/>
        <family val="2"/>
      </rPr>
      <t>organization.</t>
    </r>
    <r>
      <rPr>
        <sz val="10"/>
        <rFont val="Arial"/>
      </rPr>
      <t>foundingDate</t>
    </r>
  </si>
  <si>
    <t>Founding Date</t>
  </si>
  <si>
    <t>date</t>
  </si>
  <si>
    <t>crisou.boards</t>
  </si>
  <si>
    <t>Boards</t>
  </si>
  <si>
    <t>Organisation Name</t>
  </si>
  <si>
    <t>dc.subject</t>
  </si>
  <si>
    <t>Keywords</t>
  </si>
  <si>
    <t>tag</t>
  </si>
  <si>
    <r>
      <rPr>
        <sz val="10"/>
        <rFont val="Arial"/>
      </rPr>
      <t>oairecerif.</t>
    </r>
    <r>
      <rPr>
        <sz val="10"/>
        <rFont val="Arial"/>
        <family val="2"/>
      </rPr>
      <t>acronym</t>
    </r>
  </si>
  <si>
    <t>Acronym</t>
  </si>
  <si>
    <t>Project Title</t>
  </si>
  <si>
    <t>crispj.coordinator</t>
  </si>
  <si>
    <t>Consortium Coordinator</t>
  </si>
  <si>
    <t>crispj.partnerou</t>
  </si>
  <si>
    <t>Partner Organisations</t>
  </si>
  <si>
    <t>oairecerif.internalid</t>
  </si>
  <si>
    <t>Internal ID</t>
  </si>
  <si>
    <r>
      <rPr>
        <sz val="10"/>
        <rFont val="Arial"/>
      </rPr>
      <t>oairecerif.project.</t>
    </r>
    <r>
      <rPr>
        <sz val="10"/>
        <rFont val="Arial"/>
        <family val="2"/>
      </rPr>
      <t>status</t>
    </r>
  </si>
  <si>
    <t>Status</t>
  </si>
  <si>
    <r>
      <rPr>
        <sz val="10"/>
        <rFont val="Arial"/>
      </rPr>
      <t>oairecerif.project.</t>
    </r>
    <r>
      <rPr>
        <sz val="10"/>
        <rFont val="Arial"/>
        <family val="2"/>
      </rPr>
      <t>startDate</t>
    </r>
  </si>
  <si>
    <t>Start Date</t>
  </si>
  <si>
    <t>font-weight-bold col-4</t>
  </si>
  <si>
    <r>
      <rPr>
        <sz val="10"/>
        <rFont val="Arial"/>
      </rPr>
      <t>oairecerif.project.endD</t>
    </r>
    <r>
      <rPr>
        <sz val="10"/>
        <rFont val="Arial"/>
        <family val="2"/>
      </rPr>
      <t>ate</t>
    </r>
  </si>
  <si>
    <t>End Date</t>
  </si>
  <si>
    <t>crispj.investigator</t>
  </si>
  <si>
    <t>Principal Investigator</t>
  </si>
  <si>
    <t>crispj.coinvestigators</t>
  </si>
  <si>
    <t>Investigators</t>
  </si>
  <si>
    <t>crispj.organization</t>
  </si>
  <si>
    <t>Organisations</t>
  </si>
  <si>
    <t>dc.relation.equipment</t>
  </si>
  <si>
    <t>Uses</t>
  </si>
  <si>
    <t>oairecerif.identifier.url</t>
  </si>
  <si>
    <t>Project Web Site</t>
  </si>
  <si>
    <t>link</t>
  </si>
  <si>
    <t>crispj.openaireid</t>
  </si>
  <si>
    <t>OpenAIRE ID</t>
  </si>
  <si>
    <t>dc.relation.project</t>
  </si>
  <si>
    <t>Type</t>
  </si>
  <si>
    <t>oairecerif.funder</t>
  </si>
  <si>
    <t>Funder</t>
  </si>
  <si>
    <t>oairecerif.fundingParent</t>
  </si>
  <si>
    <t>Funding Program</t>
  </si>
  <si>
    <t>Award URL</t>
  </si>
  <si>
    <t>oairecerif.oamandate</t>
  </si>
  <si>
    <t>OA Mandate</t>
  </si>
  <si>
    <t>Funding code</t>
  </si>
  <si>
    <t>oairecerif.amount</t>
  </si>
  <si>
    <t>Amount</t>
  </si>
  <si>
    <t>oairecerif.amount.currency</t>
  </si>
  <si>
    <t>Currency</t>
  </si>
  <si>
    <t>Research Interests</t>
  </si>
  <si>
    <r>
      <rPr>
        <sz val="10"/>
        <rFont val="Arial"/>
        <family val="2"/>
      </rPr>
      <t>person.</t>
    </r>
    <r>
      <rPr>
        <sz val="10"/>
        <rFont val="Arial"/>
      </rPr>
      <t>knowsLanguage</t>
    </r>
  </si>
  <si>
    <t>Knows Language</t>
  </si>
  <si>
    <t>valuepair</t>
  </si>
  <si>
    <t>crisrp.qualification</t>
  </si>
  <si>
    <t>Qualification</t>
  </si>
  <si>
    <t>personal picture</t>
  </si>
  <si>
    <t>Preferred name</t>
  </si>
  <si>
    <t>crisrp.name</t>
  </si>
  <si>
    <t>Official Name</t>
  </si>
  <si>
    <t>crisrp.name.translated</t>
  </si>
  <si>
    <t>Translated Name</t>
  </si>
  <si>
    <t>crisrp.name.variant</t>
  </si>
  <si>
    <t>Alternative Name</t>
  </si>
  <si>
    <t>person.affiliation.name</t>
  </si>
  <si>
    <t>Main Affiliation</t>
  </si>
  <si>
    <t>crisrp.workgroup</t>
  </si>
  <si>
    <t>Web Site</t>
  </si>
  <si>
    <t>person.email</t>
  </si>
  <si>
    <t>Email</t>
  </si>
  <si>
    <t>crisref.email</t>
  </si>
  <si>
    <t>person.identifier.orcid</t>
  </si>
  <si>
    <t>ORCID</t>
  </si>
  <si>
    <t>orcid</t>
  </si>
  <si>
    <t>person.identifier.scopus-author-id</t>
  </si>
  <si>
    <t>Scopus Author ID</t>
  </si>
  <si>
    <r>
      <rPr>
        <sz val="10"/>
        <rFont val="Arial"/>
      </rPr>
      <t>person.identifier.</t>
    </r>
    <r>
      <rPr>
        <sz val="10"/>
        <rFont val="Arial"/>
        <family val="2"/>
      </rPr>
      <t>rid</t>
    </r>
  </si>
  <si>
    <t>Researcher ID</t>
  </si>
  <si>
    <t>Biography</t>
  </si>
  <si>
    <t>METADATAGROUP</t>
  </si>
  <si>
    <t>oairecerif.person.affiliation</t>
  </si>
  <si>
    <t>table</t>
  </si>
  <si>
    <t>crisrp.education</t>
  </si>
  <si>
    <t>Education</t>
  </si>
  <si>
    <t>crisrp.country</t>
  </si>
  <si>
    <t>cris.policy.eperson</t>
  </si>
  <si>
    <t>person.birthDate</t>
  </si>
  <si>
    <t>Birth Date</t>
  </si>
  <si>
    <t>Journal Title</t>
  </si>
  <si>
    <t>dc.identifier.issn</t>
  </si>
  <si>
    <t>ISSN</t>
  </si>
  <si>
    <t>dc.description</t>
  </si>
  <si>
    <t>Title</t>
  </si>
  <si>
    <t>oairecerif.event.startDate</t>
  </si>
  <si>
    <t>oairecerif.event.endDate</t>
  </si>
  <si>
    <t>oairecerif.event.place</t>
  </si>
  <si>
    <t>Location</t>
  </si>
  <si>
    <t>crisevent.organizerou</t>
  </si>
  <si>
    <t>Organizer</t>
  </si>
  <si>
    <t>crisevent.organizerpj</t>
  </si>
  <si>
    <t>crisevent.sponsorou</t>
  </si>
  <si>
    <t>Sponsor</t>
  </si>
  <si>
    <t>crisevent.sponsorpj</t>
  </si>
  <si>
    <t>crisevent.partnerou</t>
  </si>
  <si>
    <t>Partner Organisation</t>
  </si>
  <si>
    <t>crisevent.partnerpj</t>
  </si>
  <si>
    <t>Partner Project</t>
  </si>
  <si>
    <t>oairecerif.acronym</t>
  </si>
  <si>
    <t>Abstract</t>
  </si>
  <si>
    <t>oairecerif.event.country</t>
  </si>
  <si>
    <t>Name</t>
  </si>
  <si>
    <t>crisequipment.ownerou</t>
  </si>
  <si>
    <t>Owner Organisation</t>
  </si>
  <si>
    <t>dc.relation.ispartof</t>
  </si>
  <si>
    <t>dc.relation.issn</t>
  </si>
  <si>
    <t>dc.date.issued</t>
  </si>
  <si>
    <t>Date Issued</t>
  </si>
  <si>
    <t>dc.contributor.author</t>
  </si>
  <si>
    <t>Author(s)</t>
  </si>
  <si>
    <t>inline</t>
  </si>
  <si>
    <t>dc.contributor.editor</t>
  </si>
  <si>
    <t>Editor(s)</t>
  </si>
  <si>
    <t>dc.identifier.doi</t>
  </si>
  <si>
    <t>DOI</t>
  </si>
  <si>
    <t>Project(s)</t>
  </si>
  <si>
    <t>dc.relation.funding</t>
  </si>
  <si>
    <t>Funding(s)</t>
  </si>
  <si>
    <t>dc.relation.product</t>
  </si>
  <si>
    <t>Uses the dataset(s)</t>
  </si>
  <si>
    <t>Subjects</t>
  </si>
  <si>
    <t>File(s)</t>
  </si>
  <si>
    <t>attachment</t>
  </si>
  <si>
    <t>identifier.doi</t>
  </si>
  <si>
    <t>datacite.subject.fos</t>
  </si>
  <si>
    <t>Field of Science</t>
  </si>
  <si>
    <t>valuepair.oecd</t>
  </si>
  <si>
    <t>dc.relation.publication</t>
  </si>
  <si>
    <t>Used by the publication(s)</t>
  </si>
  <si>
    <t>mt-3</t>
  </si>
  <si>
    <t>mt-2</t>
  </si>
  <si>
    <t>dc.identifier.patentno</t>
  </si>
  <si>
    <t>PARENT</t>
  </si>
  <si>
    <t>text</t>
  </si>
  <si>
    <t>font-weight-bold</t>
  </si>
  <si>
    <t>crisrp.qualification.start</t>
  </si>
  <si>
    <t>Start</t>
  </si>
  <si>
    <t>crisrp.qualification.end</t>
  </si>
  <si>
    <t>End</t>
  </si>
  <si>
    <t>oairecerif.affiliation.role</t>
  </si>
  <si>
    <t>Role</t>
  </si>
  <si>
    <t>Organisation</t>
  </si>
  <si>
    <t>oairecerif.affiliation.startDate</t>
  </si>
  <si>
    <t>oairecerif.affiliation.endDate</t>
  </si>
  <si>
    <t>crisrp.education.role</t>
  </si>
  <si>
    <t>crisrp.education.start</t>
  </si>
  <si>
    <t>crisrp.education.end</t>
  </si>
  <si>
    <t>Author</t>
  </si>
  <si>
    <t>oairecerif.author.affiliation</t>
  </si>
  <si>
    <t>Editor</t>
  </si>
  <si>
    <t>oairecerif.editor.affiliation</t>
  </si>
  <si>
    <t>Creator</t>
  </si>
  <si>
    <t>dc.relation.doi</t>
  </si>
  <si>
    <t>text-nowrap</t>
  </si>
  <si>
    <t>Inventor</t>
  </si>
  <si>
    <t>METRIC_TYPE</t>
  </si>
  <si>
    <t>scopusCitation, wosCitation</t>
  </si>
  <si>
    <t>altmetric, dimensions</t>
  </si>
  <si>
    <t>view, download, google-scholar, embedded-view, embedded-download</t>
  </si>
  <si>
    <t>view, download, embedded-view, embedded-download</t>
  </si>
  <si>
    <t>scopus-author-h-index, scopus-author-coauthor-count, scopus-author-cited-count, scopus-author-citation-count, scopus-author-document-count, wosPersonCitation</t>
  </si>
  <si>
    <t>view, embedded-view, google-scholar</t>
  </si>
  <si>
    <t>view, embedded-view</t>
  </si>
  <si>
    <t>VOCABULARY</t>
  </si>
  <si>
    <t>publication-coar-types</t>
  </si>
  <si>
    <t>orgunits</t>
  </si>
  <si>
    <t>GROUP</t>
  </si>
  <si>
    <t>cris.policy.group</t>
  </si>
  <si>
    <t>crisfund.investigators</t>
  </si>
  <si>
    <t>crisfund.coinvestigators</t>
  </si>
  <si>
    <t>BOX-TYPES</t>
  </si>
  <si>
    <t>METADATA-RENDERING</t>
  </si>
  <si>
    <t>Security</t>
  </si>
  <si>
    <t>ADMINISTRATOR</t>
  </si>
  <si>
    <t>OWNER &amp; ADMINISTRATOR</t>
  </si>
  <si>
    <t>link.label</t>
  </si>
  <si>
    <t>CUSTOM DATA &amp; ADMINISTRATOR</t>
  </si>
  <si>
    <t>identifier</t>
  </si>
  <si>
    <t>PREFIX</t>
  </si>
  <si>
    <t>AUTOGENERATED I18N keys</t>
  </si>
  <si>
    <t>layout.tab.header.</t>
  </si>
  <si>
    <t xml:space="preserve">AUTOGENERATED I18N keys </t>
  </si>
  <si>
    <t>layout.box.header.</t>
  </si>
  <si>
    <t>layout.field.label.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</si>
</sst>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  <family val="2"/>
    </font>
    <font>
      <sz val="10"/>
      <name val="Arial"/>
    </font>
    <font>
      <b/>
      <sz val="10"/>
      <name val="Arial"/>
      <family val="2"/>
    </font>
    <font>
      <b/>
      <sz val="11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49" fontId="0" fillId="0" borderId="0" xfId="0" applyNumberFormat="1"/>
    <xf numFmtId="0" fontId="3" fillId="0" borderId="0" xfId="0" applyFont="1"/>
    <xf numFmtId="0" fontId="1" fillId="0" borderId="0" xfId="0" applyFont="1"/>
    <xf numFmtId="49" fontId="3" fillId="0" borderId="0" xfId="0" applyNumberFormat="1" applyFont="1"/>
    <xf numFmtId="0" fontId="2" fillId="0" borderId="0" xfId="0" applyFont="1" applyAlignment="1">
      <alignment wrapText="1"/>
    </xf>
    <xf numFmtId="0" fontId="2" fillId="2" borderId="0" xfId="0" applyFont="1" applyFill="1"/>
    <xf numFmtId="0" fontId="0" fillId="2" borderId="0" xfId="0" applyFill="1"/>
    <xf numFmtId="0" fontId="0" fillId="3" borderId="0" xfId="0" applyFill="1"/>
    <xf numFmtId="0" fontId="0" fillId="3" borderId="0" xfId="0" quotePrefix="1" applyFill="1"/>
    <xf numFmtId="0" fontId="0" fillId="4" borderId="0" xfId="0" applyFill="1"/>
    <xf numFmtId="0" fontId="0" fillId="4" borderId="0" xfId="0" quotePrefix="1" applyFill="1"/>
    <xf numFmtId="0" fontId="0" fillId="5" borderId="0" xfId="0" applyFill="1"/>
    <xf numFmtId="0" fontId="0" fillId="6" borderId="0" xfId="0" applyFill="1"/>
    <xf numFmtId="0" fontId="0" fillId="6" borderId="0" xfId="0" quotePrefix="1" applyFill="1"/>
    <xf numFmtId="0" fontId="0" fillId="7" borderId="0" xfId="0" applyFill="1"/>
    <xf numFmtId="0" fontId="0" fillId="8" borderId="0" xfId="0" applyFill="1"/>
    <xf numFmtId="0" fontId="0" fillId="8" borderId="0" xfId="0" quotePrefix="1" applyFill="1"/>
    <xf numFmtId="0" fontId="0" fillId="9" borderId="0" xfId="0" applyFill="1"/>
    <xf numFmtId="0" fontId="0" fillId="9" borderId="0" xfId="0" quotePrefix="1" applyFill="1"/>
    <xf numFmtId="0" fontId="0" fillId="10" borderId="0" xfId="0" applyFill="1"/>
    <xf numFmtId="0" fontId="0" fillId="10" borderId="0" xfId="0" quotePrefix="1" applyFill="1"/>
    <xf numFmtId="0" fontId="0" fillId="11" borderId="0" xfId="0" applyFill="1"/>
    <xf numFmtId="0" fontId="0" fillId="11" borderId="0" xfId="0" quotePrefix="1" applyFill="1"/>
    <xf numFmtId="0" fontId="0" fillId="12" borderId="0" xfId="0" applyFill="1"/>
    <xf numFmtId="0" fontId="0" fillId="12" borderId="0" xfId="0" quotePrefix="1" applyFill="1"/>
    <xf numFmtId="0" fontId="0" fillId="13" borderId="0" xfId="0" applyFill="1"/>
    <xf numFmtId="0" fontId="0" fillId="13" borderId="0" xfId="0" quotePrefix="1" applyFill="1"/>
    <xf numFmtId="0" fontId="0" fillId="14" borderId="0" xfId="0" applyFill="1"/>
    <xf numFmtId="0" fontId="0" fillId="14" borderId="0" xfId="0" quotePrefix="1" applyFill="1"/>
    <xf numFmtId="0" fontId="0" fillId="15" borderId="0" xfId="0" applyFill="1"/>
    <xf numFmtId="0" fontId="0" fillId="15" borderId="0" xfId="0" quotePrefix="1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zoomScale="120" zoomScaleNormal="120" workbookViewId="0">
      <pane ySplit="1" topLeftCell="A14" activePane="bottomLeft" state="frozen"/>
      <selection pane="bottomLeft" activeCell="A30" sqref="A30:B36"/>
    </sheetView>
  </sheetViews>
  <sheetFormatPr defaultColWidth="8.42578125" defaultRowHeight="12.75"/>
  <cols>
    <col min="1" max="1" width="27.140625" bestFit="1" customWidth="1"/>
    <col min="2" max="2" width="20.28515625" customWidth="1"/>
    <col min="3" max="3" width="25.7109375" customWidth="1"/>
    <col min="4" max="4" width="10.7109375" customWidth="1"/>
    <col min="5" max="6" width="17.5703125" customWidth="1"/>
  </cols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10" customFormat="1">
      <c r="A2" s="10" t="s">
        <v>6</v>
      </c>
      <c r="B2" s="10" t="s">
        <v>7</v>
      </c>
      <c r="C2" s="10" t="s">
        <v>8</v>
      </c>
      <c r="D2" s="10" t="s">
        <v>9</v>
      </c>
      <c r="E2" s="10" t="s">
        <v>10</v>
      </c>
      <c r="F2" s="10" t="s">
        <v>11</v>
      </c>
    </row>
    <row r="3" spans="1:6" s="10" customFormat="1">
      <c r="A3" s="10" t="s">
        <v>6</v>
      </c>
      <c r="B3" s="10" t="s">
        <v>12</v>
      </c>
      <c r="C3" s="10" t="s">
        <v>13</v>
      </c>
      <c r="D3" s="10" t="s">
        <v>14</v>
      </c>
      <c r="E3" s="10" t="s">
        <v>15</v>
      </c>
      <c r="F3" s="10" t="s">
        <v>11</v>
      </c>
    </row>
    <row r="4" spans="1:6" s="10" customFormat="1">
      <c r="A4" s="10" t="s">
        <v>6</v>
      </c>
      <c r="B4" s="10" t="s">
        <v>16</v>
      </c>
      <c r="C4" s="10" t="s">
        <v>17</v>
      </c>
      <c r="D4" s="11" t="s">
        <v>18</v>
      </c>
      <c r="E4" s="10" t="s">
        <v>15</v>
      </c>
      <c r="F4" s="10" t="s">
        <v>11</v>
      </c>
    </row>
    <row r="5" spans="1:6" s="10" customFormat="1">
      <c r="A5" s="10" t="s">
        <v>6</v>
      </c>
      <c r="B5" s="10" t="s">
        <v>19</v>
      </c>
      <c r="C5" s="10" t="s">
        <v>20</v>
      </c>
      <c r="D5" s="11" t="s">
        <v>21</v>
      </c>
      <c r="E5" s="10" t="s">
        <v>15</v>
      </c>
      <c r="F5" s="10" t="s">
        <v>11</v>
      </c>
    </row>
    <row r="6" spans="1:6" s="10" customFormat="1">
      <c r="A6" s="10" t="s">
        <v>6</v>
      </c>
      <c r="B6" s="10" t="s">
        <v>22</v>
      </c>
      <c r="C6" s="10" t="s">
        <v>23</v>
      </c>
      <c r="D6" s="11" t="s">
        <v>24</v>
      </c>
      <c r="E6" s="10" t="s">
        <v>15</v>
      </c>
      <c r="F6" s="10" t="s">
        <v>11</v>
      </c>
    </row>
    <row r="7" spans="1:6" s="10" customFormat="1">
      <c r="A7" s="10" t="s">
        <v>6</v>
      </c>
      <c r="B7" s="10" t="s">
        <v>25</v>
      </c>
      <c r="C7" s="10" t="s">
        <v>26</v>
      </c>
      <c r="D7" s="11" t="s">
        <v>27</v>
      </c>
      <c r="E7" s="10" t="s">
        <v>15</v>
      </c>
      <c r="F7" s="10" t="s">
        <v>11</v>
      </c>
    </row>
    <row r="8" spans="1:6" s="12" customFormat="1">
      <c r="A8" s="12" t="s">
        <v>28</v>
      </c>
      <c r="B8" s="12" t="s">
        <v>29</v>
      </c>
      <c r="C8" s="12" t="s">
        <v>30</v>
      </c>
      <c r="D8" s="12" t="s">
        <v>9</v>
      </c>
      <c r="E8" s="12" t="s">
        <v>10</v>
      </c>
      <c r="F8" s="12" t="s">
        <v>11</v>
      </c>
    </row>
    <row r="9" spans="1:6" s="12" customFormat="1">
      <c r="A9" s="12" t="s">
        <v>28</v>
      </c>
      <c r="B9" s="12" t="s">
        <v>31</v>
      </c>
      <c r="C9" s="12" t="s">
        <v>32</v>
      </c>
      <c r="D9" s="13" t="s">
        <v>14</v>
      </c>
      <c r="E9" s="12" t="s">
        <v>15</v>
      </c>
      <c r="F9" s="12" t="s">
        <v>11</v>
      </c>
    </row>
    <row r="10" spans="1:6" s="12" customFormat="1">
      <c r="A10" s="12" t="s">
        <v>28</v>
      </c>
      <c r="B10" s="12" t="s">
        <v>33</v>
      </c>
      <c r="C10" s="12" t="s">
        <v>34</v>
      </c>
      <c r="D10" s="13" t="s">
        <v>18</v>
      </c>
      <c r="E10" s="12" t="s">
        <v>15</v>
      </c>
      <c r="F10" s="12" t="s">
        <v>11</v>
      </c>
    </row>
    <row r="11" spans="1:6" s="12" customFormat="1">
      <c r="A11" s="12" t="s">
        <v>28</v>
      </c>
      <c r="B11" s="12" t="s">
        <v>35</v>
      </c>
      <c r="C11" s="12" t="s">
        <v>36</v>
      </c>
      <c r="D11" s="13" t="s">
        <v>21</v>
      </c>
      <c r="E11" s="12" t="s">
        <v>15</v>
      </c>
      <c r="F11" s="12" t="s">
        <v>11</v>
      </c>
    </row>
    <row r="12" spans="1:6" s="12" customFormat="1">
      <c r="A12" s="12" t="s">
        <v>28</v>
      </c>
      <c r="B12" s="12" t="s">
        <v>37</v>
      </c>
      <c r="C12" s="12" t="s">
        <v>38</v>
      </c>
      <c r="D12" s="13" t="s">
        <v>24</v>
      </c>
      <c r="E12" s="12" t="s">
        <v>15</v>
      </c>
      <c r="F12" s="12" t="s">
        <v>11</v>
      </c>
    </row>
    <row r="13" spans="1:6" s="14" customFormat="1">
      <c r="A13" s="14" t="s">
        <v>39</v>
      </c>
      <c r="B13" s="14" t="s">
        <v>29</v>
      </c>
      <c r="C13" s="14" t="s">
        <v>30</v>
      </c>
      <c r="D13" s="14" t="s">
        <v>9</v>
      </c>
      <c r="E13" s="14" t="s">
        <v>10</v>
      </c>
      <c r="F13" s="14" t="s">
        <v>11</v>
      </c>
    </row>
    <row r="14" spans="1:6" s="15" customFormat="1">
      <c r="A14" s="15" t="s">
        <v>40</v>
      </c>
      <c r="B14" s="15" t="s">
        <v>7</v>
      </c>
      <c r="C14" s="15" t="s">
        <v>41</v>
      </c>
      <c r="D14" s="15" t="s">
        <v>9</v>
      </c>
      <c r="E14" s="15" t="s">
        <v>10</v>
      </c>
      <c r="F14" s="15" t="s">
        <v>11</v>
      </c>
    </row>
    <row r="15" spans="1:6" s="15" customFormat="1">
      <c r="A15" s="15" t="s">
        <v>40</v>
      </c>
      <c r="B15" s="15" t="s">
        <v>42</v>
      </c>
      <c r="C15" s="15" t="s">
        <v>43</v>
      </c>
      <c r="D15" s="16" t="s">
        <v>14</v>
      </c>
      <c r="E15" s="15" t="s">
        <v>15</v>
      </c>
      <c r="F15" s="15" t="s">
        <v>11</v>
      </c>
    </row>
    <row r="16" spans="1:6" s="15" customFormat="1">
      <c r="A16" s="15" t="s">
        <v>40</v>
      </c>
      <c r="B16" s="15" t="s">
        <v>44</v>
      </c>
      <c r="C16" s="15" t="s">
        <v>36</v>
      </c>
      <c r="D16" s="16" t="s">
        <v>18</v>
      </c>
      <c r="E16" s="15" t="s">
        <v>15</v>
      </c>
      <c r="F16" s="15" t="s">
        <v>11</v>
      </c>
    </row>
    <row r="17" spans="1:6" s="15" customFormat="1">
      <c r="A17" s="15" t="s">
        <v>40</v>
      </c>
      <c r="B17" s="15" t="s">
        <v>45</v>
      </c>
      <c r="C17" s="15" t="s">
        <v>26</v>
      </c>
      <c r="D17" s="16" t="s">
        <v>21</v>
      </c>
      <c r="E17" s="15" t="s">
        <v>15</v>
      </c>
      <c r="F17" s="15" t="s">
        <v>11</v>
      </c>
    </row>
    <row r="18" spans="1:6" s="17" customFormat="1">
      <c r="A18" s="17" t="s">
        <v>46</v>
      </c>
      <c r="B18" s="17" t="s">
        <v>7</v>
      </c>
      <c r="C18" s="17" t="s">
        <v>41</v>
      </c>
      <c r="D18" s="17" t="s">
        <v>9</v>
      </c>
      <c r="E18" s="17" t="s">
        <v>10</v>
      </c>
      <c r="F18" s="17" t="s">
        <v>11</v>
      </c>
    </row>
    <row r="19" spans="1:6" s="18" customFormat="1">
      <c r="A19" s="18" t="s">
        <v>47</v>
      </c>
      <c r="B19" s="18" t="s">
        <v>7</v>
      </c>
      <c r="C19" s="18" t="s">
        <v>48</v>
      </c>
      <c r="D19" s="19" t="s">
        <v>9</v>
      </c>
      <c r="E19" s="18" t="s">
        <v>10</v>
      </c>
      <c r="F19" s="18" t="s">
        <v>11</v>
      </c>
    </row>
    <row r="20" spans="1:6" s="18" customFormat="1">
      <c r="A20" s="18" t="s">
        <v>47</v>
      </c>
      <c r="B20" s="18" t="s">
        <v>49</v>
      </c>
      <c r="C20" s="18" t="s">
        <v>50</v>
      </c>
      <c r="D20" s="19" t="s">
        <v>14</v>
      </c>
      <c r="E20" s="18" t="s">
        <v>15</v>
      </c>
      <c r="F20" s="18" t="s">
        <v>11</v>
      </c>
    </row>
    <row r="21" spans="1:6" s="18" customFormat="1">
      <c r="A21" s="18" t="s">
        <v>47</v>
      </c>
      <c r="B21" s="18" t="s">
        <v>51</v>
      </c>
      <c r="C21" s="18" t="s">
        <v>52</v>
      </c>
      <c r="D21" s="19" t="s">
        <v>18</v>
      </c>
      <c r="E21" s="18" t="s">
        <v>15</v>
      </c>
      <c r="F21" s="18" t="s">
        <v>11</v>
      </c>
    </row>
    <row r="22" spans="1:6" s="18" customFormat="1">
      <c r="A22" s="18" t="s">
        <v>47</v>
      </c>
      <c r="B22" s="18" t="s">
        <v>53</v>
      </c>
      <c r="C22" s="18" t="s">
        <v>54</v>
      </c>
      <c r="D22" s="19" t="s">
        <v>21</v>
      </c>
      <c r="E22" s="18" t="s">
        <v>15</v>
      </c>
      <c r="F22" s="18" t="s">
        <v>11</v>
      </c>
    </row>
    <row r="23" spans="1:6" s="20" customFormat="1">
      <c r="A23" s="20" t="s">
        <v>55</v>
      </c>
      <c r="B23" s="20" t="s">
        <v>7</v>
      </c>
      <c r="C23" s="20" t="s">
        <v>56</v>
      </c>
      <c r="D23" s="21" t="s">
        <v>9</v>
      </c>
      <c r="E23" s="20" t="s">
        <v>10</v>
      </c>
      <c r="F23" s="20" t="s">
        <v>11</v>
      </c>
    </row>
    <row r="24" spans="1:6" s="20" customFormat="1">
      <c r="A24" s="20" t="s">
        <v>55</v>
      </c>
      <c r="B24" s="20" t="s">
        <v>57</v>
      </c>
      <c r="C24" s="20" t="s">
        <v>58</v>
      </c>
      <c r="D24" s="21" t="s">
        <v>14</v>
      </c>
      <c r="E24" s="20" t="s">
        <v>15</v>
      </c>
      <c r="F24" s="20" t="s">
        <v>11</v>
      </c>
    </row>
    <row r="25" spans="1:6" s="20" customFormat="1">
      <c r="A25" s="20" t="s">
        <v>55</v>
      </c>
      <c r="B25" s="20" t="s">
        <v>59</v>
      </c>
      <c r="C25" s="20" t="s">
        <v>26</v>
      </c>
      <c r="D25" s="21" t="s">
        <v>18</v>
      </c>
      <c r="E25" s="20" t="s">
        <v>15</v>
      </c>
      <c r="F25" s="20" t="s">
        <v>11</v>
      </c>
    </row>
    <row r="26" spans="1:6" s="22" customFormat="1">
      <c r="A26" s="22" t="s">
        <v>60</v>
      </c>
      <c r="B26" s="22" t="s">
        <v>7</v>
      </c>
      <c r="C26" s="22" t="s">
        <v>61</v>
      </c>
      <c r="D26" s="23" t="s">
        <v>9</v>
      </c>
      <c r="E26" s="22" t="s">
        <v>10</v>
      </c>
      <c r="F26" s="22" t="s">
        <v>11</v>
      </c>
    </row>
    <row r="27" spans="1:6" s="22" customFormat="1">
      <c r="A27" s="22" t="s">
        <v>60</v>
      </c>
      <c r="B27" s="22" t="s">
        <v>62</v>
      </c>
      <c r="C27" s="22" t="s">
        <v>63</v>
      </c>
      <c r="D27" s="23" t="s">
        <v>14</v>
      </c>
      <c r="E27" s="22" t="s">
        <v>15</v>
      </c>
      <c r="F27" s="22" t="s">
        <v>11</v>
      </c>
    </row>
    <row r="28" spans="1:6" s="24" customFormat="1">
      <c r="A28" s="24" t="s">
        <v>64</v>
      </c>
      <c r="B28" s="24" t="s">
        <v>7</v>
      </c>
      <c r="C28" s="24" t="s">
        <v>65</v>
      </c>
      <c r="D28" s="25" t="s">
        <v>9</v>
      </c>
      <c r="E28" s="24" t="s">
        <v>10</v>
      </c>
      <c r="F28" s="24" t="s">
        <v>11</v>
      </c>
    </row>
    <row r="29" spans="1:6" s="24" customFormat="1">
      <c r="A29" s="24" t="s">
        <v>64</v>
      </c>
      <c r="B29" s="24" t="s">
        <v>66</v>
      </c>
      <c r="C29" s="24" t="s">
        <v>67</v>
      </c>
      <c r="D29" s="25" t="s">
        <v>14</v>
      </c>
      <c r="E29" s="24" t="s">
        <v>15</v>
      </c>
      <c r="F29" s="24" t="s">
        <v>11</v>
      </c>
    </row>
    <row r="30" spans="1:6" s="26" customFormat="1">
      <c r="A30" s="26" t="s">
        <v>68</v>
      </c>
      <c r="B30" s="26" t="s">
        <v>7</v>
      </c>
      <c r="C30" s="26" t="s">
        <v>41</v>
      </c>
      <c r="D30" s="27" t="s">
        <v>9</v>
      </c>
      <c r="E30" s="26" t="s">
        <v>10</v>
      </c>
      <c r="F30" s="26" t="s">
        <v>11</v>
      </c>
    </row>
    <row r="31" spans="1:6" s="28" customFormat="1">
      <c r="A31" s="28" t="s">
        <v>69</v>
      </c>
      <c r="B31" s="28" t="s">
        <v>7</v>
      </c>
      <c r="C31" s="28" t="s">
        <v>70</v>
      </c>
      <c r="D31" s="29" t="s">
        <v>9</v>
      </c>
      <c r="E31" s="28" t="s">
        <v>10</v>
      </c>
      <c r="F31" s="28" t="s">
        <v>11</v>
      </c>
    </row>
    <row r="32" spans="1:6" s="26" customFormat="1">
      <c r="A32" s="26" t="s">
        <v>71</v>
      </c>
      <c r="B32" s="26" t="s">
        <v>7</v>
      </c>
      <c r="C32" s="26" t="s">
        <v>41</v>
      </c>
      <c r="D32" s="27" t="s">
        <v>9</v>
      </c>
      <c r="E32" s="26" t="s">
        <v>10</v>
      </c>
      <c r="F32" s="26" t="s">
        <v>11</v>
      </c>
    </row>
    <row r="33" spans="1:6" s="30" customFormat="1">
      <c r="A33" s="30" t="s">
        <v>72</v>
      </c>
      <c r="B33" s="30" t="s">
        <v>7</v>
      </c>
      <c r="C33" s="30" t="s">
        <v>73</v>
      </c>
      <c r="D33" s="31" t="s">
        <v>9</v>
      </c>
      <c r="E33" s="30" t="s">
        <v>10</v>
      </c>
      <c r="F33" s="30" t="s">
        <v>11</v>
      </c>
    </row>
    <row r="34" spans="1:6" s="30" customFormat="1">
      <c r="A34" s="30" t="s">
        <v>72</v>
      </c>
      <c r="B34" s="30" t="s">
        <v>74</v>
      </c>
      <c r="C34" s="30" t="s">
        <v>75</v>
      </c>
      <c r="D34" s="31" t="s">
        <v>14</v>
      </c>
      <c r="E34" s="30" t="s">
        <v>15</v>
      </c>
      <c r="F34" s="30" t="s">
        <v>11</v>
      </c>
    </row>
    <row r="35" spans="1:6" s="10" customFormat="1">
      <c r="A35" s="10" t="s">
        <v>76</v>
      </c>
      <c r="B35" s="10" t="s">
        <v>7</v>
      </c>
      <c r="C35" s="10" t="s">
        <v>41</v>
      </c>
      <c r="D35" s="11" t="s">
        <v>9</v>
      </c>
      <c r="E35" s="10" t="s">
        <v>10</v>
      </c>
      <c r="F35" s="10" t="s">
        <v>11</v>
      </c>
    </row>
    <row r="36" spans="1:6" s="32" customFormat="1">
      <c r="A36" s="32" t="s">
        <v>77</v>
      </c>
      <c r="B36" s="32" t="s">
        <v>7</v>
      </c>
      <c r="C36" s="32" t="s">
        <v>41</v>
      </c>
      <c r="D36" s="33" t="s">
        <v>9</v>
      </c>
      <c r="E36" s="32" t="s">
        <v>10</v>
      </c>
      <c r="F36" s="32" t="s">
        <v>11</v>
      </c>
    </row>
  </sheetData>
  <sheetProtection selectLockedCells="1" selectUnlockedCells="1"/>
  <pageMargins left="0.75" right="0.75" top="1" bottom="1" header="0.51180555555555551" footer="0.51180555555555551"/>
  <pageSetup paperSize="9" firstPageNumber="0" pageOrder="overThenDown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"/>
  <sheetViews>
    <sheetView zoomScale="120" zoomScaleNormal="120" workbookViewId="0">
      <pane ySplit="1" topLeftCell="A29" activePane="bottomLeft" state="frozen"/>
      <selection pane="bottomLeft" activeCell="C52" sqref="C52"/>
    </sheetView>
  </sheetViews>
  <sheetFormatPr defaultColWidth="8.42578125" defaultRowHeight="12.75"/>
  <cols>
    <col min="1" max="1" width="15.7109375" bestFit="1" customWidth="1"/>
    <col min="2" max="2" width="20.42578125" customWidth="1"/>
    <col min="3" max="3" width="7.28515625" customWidth="1"/>
    <col min="4" max="4" width="12.42578125" customWidth="1"/>
    <col min="5" max="5" width="17.140625" customWidth="1"/>
    <col min="6" max="6" width="23.28515625" customWidth="1"/>
  </cols>
  <sheetData>
    <row r="1" spans="1:6" s="1" customFormat="1">
      <c r="A1" s="1" t="s">
        <v>0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</row>
    <row r="2" spans="1:6" s="32" customFormat="1">
      <c r="A2" s="32" t="s">
        <v>28</v>
      </c>
      <c r="B2" s="32" t="s">
        <v>29</v>
      </c>
      <c r="C2" s="32">
        <v>1</v>
      </c>
      <c r="F2" s="32" t="s">
        <v>83</v>
      </c>
    </row>
    <row r="3" spans="1:6" s="32" customFormat="1">
      <c r="A3" s="32" t="s">
        <v>28</v>
      </c>
      <c r="B3" s="32" t="s">
        <v>29</v>
      </c>
      <c r="C3" s="32">
        <v>2</v>
      </c>
      <c r="F3" s="32" t="s">
        <v>84</v>
      </c>
    </row>
    <row r="4" spans="1:6" s="32" customFormat="1">
      <c r="A4" s="32" t="s">
        <v>28</v>
      </c>
      <c r="B4" s="32" t="s">
        <v>29</v>
      </c>
      <c r="C4" s="32">
        <v>3</v>
      </c>
      <c r="F4" s="32" t="s">
        <v>85</v>
      </c>
    </row>
    <row r="5" spans="1:6" s="32" customFormat="1">
      <c r="A5" s="32" t="s">
        <v>28</v>
      </c>
      <c r="B5" s="32" t="s">
        <v>31</v>
      </c>
      <c r="C5" s="32">
        <v>1</v>
      </c>
      <c r="F5" s="32" t="s">
        <v>31</v>
      </c>
    </row>
    <row r="6" spans="1:6" s="32" customFormat="1">
      <c r="A6" s="32" t="s">
        <v>28</v>
      </c>
      <c r="B6" s="32" t="s">
        <v>33</v>
      </c>
      <c r="C6" s="32">
        <v>1</v>
      </c>
      <c r="F6" s="32" t="s">
        <v>33</v>
      </c>
    </row>
    <row r="7" spans="1:6" s="32" customFormat="1">
      <c r="A7" s="32" t="s">
        <v>28</v>
      </c>
      <c r="B7" s="32" t="s">
        <v>35</v>
      </c>
      <c r="C7" s="32">
        <v>1</v>
      </c>
      <c r="F7" s="32" t="s">
        <v>35</v>
      </c>
    </row>
    <row r="8" spans="1:6" s="32" customFormat="1">
      <c r="A8" s="32" t="s">
        <v>28</v>
      </c>
      <c r="B8" s="32" t="s">
        <v>37</v>
      </c>
      <c r="C8" s="32">
        <v>1</v>
      </c>
      <c r="F8" s="32" t="s">
        <v>37</v>
      </c>
    </row>
    <row r="9" spans="1:6" s="34" customFormat="1">
      <c r="A9" s="34" t="s">
        <v>39</v>
      </c>
      <c r="B9" s="34" t="s">
        <v>29</v>
      </c>
      <c r="C9" s="34">
        <v>1</v>
      </c>
      <c r="F9" s="34" t="s">
        <v>86</v>
      </c>
    </row>
    <row r="10" spans="1:6" s="34" customFormat="1">
      <c r="A10" s="34" t="s">
        <v>39</v>
      </c>
      <c r="B10" s="34" t="s">
        <v>29</v>
      </c>
      <c r="C10" s="34">
        <v>2</v>
      </c>
      <c r="F10" s="34" t="s">
        <v>84</v>
      </c>
    </row>
    <row r="11" spans="1:6" s="34" customFormat="1">
      <c r="A11" s="34" t="s">
        <v>39</v>
      </c>
      <c r="B11" s="34" t="s">
        <v>29</v>
      </c>
      <c r="C11" s="34">
        <v>3</v>
      </c>
      <c r="F11" s="34" t="s">
        <v>31</v>
      </c>
    </row>
    <row r="12" spans="1:6" s="10" customFormat="1">
      <c r="A12" s="10" t="s">
        <v>6</v>
      </c>
      <c r="B12" s="10" t="s">
        <v>7</v>
      </c>
      <c r="C12" s="10">
        <v>1</v>
      </c>
      <c r="F12" s="10" t="s">
        <v>87</v>
      </c>
    </row>
    <row r="13" spans="1:6" s="10" customFormat="1">
      <c r="A13" s="10" t="s">
        <v>6</v>
      </c>
      <c r="B13" s="10" t="s">
        <v>12</v>
      </c>
      <c r="C13" s="10">
        <v>1</v>
      </c>
      <c r="F13" s="10" t="s">
        <v>31</v>
      </c>
    </row>
    <row r="14" spans="1:6" s="10" customFormat="1">
      <c r="A14" s="10" t="s">
        <v>6</v>
      </c>
      <c r="B14" s="10" t="s">
        <v>16</v>
      </c>
      <c r="C14" s="10">
        <v>1</v>
      </c>
      <c r="F14" s="10" t="s">
        <v>88</v>
      </c>
    </row>
    <row r="15" spans="1:6" s="10" customFormat="1">
      <c r="A15" s="10" t="s">
        <v>6</v>
      </c>
      <c r="B15" s="10" t="s">
        <v>19</v>
      </c>
      <c r="C15" s="10">
        <v>1</v>
      </c>
      <c r="F15" s="10" t="s">
        <v>89</v>
      </c>
    </row>
    <row r="16" spans="1:6" s="10" customFormat="1">
      <c r="A16" s="10" t="s">
        <v>6</v>
      </c>
      <c r="B16" s="10" t="s">
        <v>22</v>
      </c>
      <c r="C16" s="10">
        <v>1</v>
      </c>
      <c r="F16" s="10" t="s">
        <v>22</v>
      </c>
    </row>
    <row r="17" spans="1:6" s="10" customFormat="1">
      <c r="A17" s="10" t="s">
        <v>6</v>
      </c>
      <c r="B17" s="10" t="s">
        <v>25</v>
      </c>
      <c r="C17" s="10">
        <v>1</v>
      </c>
      <c r="F17" s="10" t="s">
        <v>90</v>
      </c>
    </row>
    <row r="18" spans="1:6" s="10" customFormat="1">
      <c r="A18" s="10" t="s">
        <v>6</v>
      </c>
      <c r="B18" s="10" t="s">
        <v>25</v>
      </c>
      <c r="C18" s="10">
        <v>2</v>
      </c>
      <c r="F18" s="10" t="s">
        <v>91</v>
      </c>
    </row>
    <row r="19" spans="1:6" s="22" customFormat="1">
      <c r="A19" s="22" t="s">
        <v>40</v>
      </c>
      <c r="B19" s="22" t="s">
        <v>7</v>
      </c>
      <c r="C19" s="22">
        <v>1</v>
      </c>
      <c r="F19" s="22" t="s">
        <v>92</v>
      </c>
    </row>
    <row r="20" spans="1:6" s="22" customFormat="1">
      <c r="A20" s="22" t="s">
        <v>40</v>
      </c>
      <c r="B20" s="22" t="s">
        <v>42</v>
      </c>
      <c r="C20" s="22">
        <v>1</v>
      </c>
      <c r="F20" s="22" t="s">
        <v>93</v>
      </c>
    </row>
    <row r="21" spans="1:6" s="22" customFormat="1">
      <c r="A21" s="22" t="s">
        <v>40</v>
      </c>
      <c r="B21" s="22" t="s">
        <v>44</v>
      </c>
      <c r="C21" s="22">
        <v>1</v>
      </c>
      <c r="F21" s="22" t="s">
        <v>44</v>
      </c>
    </row>
    <row r="22" spans="1:6" s="22" customFormat="1">
      <c r="A22" s="22" t="s">
        <v>40</v>
      </c>
      <c r="B22" s="22" t="s">
        <v>45</v>
      </c>
      <c r="C22" s="22">
        <v>1</v>
      </c>
      <c r="F22" s="22" t="s">
        <v>94</v>
      </c>
    </row>
    <row r="23" spans="1:6" s="35" customFormat="1">
      <c r="A23" s="35" t="s">
        <v>46</v>
      </c>
      <c r="B23" s="35" t="s">
        <v>7</v>
      </c>
      <c r="C23" s="35">
        <v>1</v>
      </c>
      <c r="F23" s="35" t="s">
        <v>7</v>
      </c>
    </row>
    <row r="24" spans="1:6" s="35" customFormat="1">
      <c r="A24" s="35" t="s">
        <v>46</v>
      </c>
      <c r="B24" s="35" t="s">
        <v>7</v>
      </c>
      <c r="C24" s="35">
        <v>2</v>
      </c>
      <c r="F24" s="35" t="s">
        <v>95</v>
      </c>
    </row>
    <row r="25" spans="1:6" s="36" customFormat="1">
      <c r="A25" s="36" t="s">
        <v>47</v>
      </c>
      <c r="B25" s="36" t="s">
        <v>7</v>
      </c>
      <c r="C25" s="36">
        <v>1</v>
      </c>
      <c r="F25" s="36" t="s">
        <v>96</v>
      </c>
    </row>
    <row r="26" spans="1:6" s="36" customFormat="1">
      <c r="A26" s="36" t="s">
        <v>97</v>
      </c>
      <c r="B26" s="36" t="s">
        <v>7</v>
      </c>
      <c r="C26" s="36">
        <v>2</v>
      </c>
      <c r="F26" s="36" t="s">
        <v>98</v>
      </c>
    </row>
    <row r="27" spans="1:6" s="36" customFormat="1">
      <c r="A27" s="36" t="s">
        <v>47</v>
      </c>
      <c r="B27" s="36" t="s">
        <v>7</v>
      </c>
      <c r="C27" s="36">
        <v>3</v>
      </c>
      <c r="F27" s="36" t="s">
        <v>99</v>
      </c>
    </row>
    <row r="28" spans="1:6" s="36" customFormat="1">
      <c r="A28" s="36" t="s">
        <v>47</v>
      </c>
      <c r="B28" s="36" t="s">
        <v>7</v>
      </c>
      <c r="C28" s="36">
        <v>4</v>
      </c>
      <c r="F28" s="36" t="s">
        <v>100</v>
      </c>
    </row>
    <row r="29" spans="1:6" s="36" customFormat="1" ht="12" customHeight="1">
      <c r="A29" s="36" t="s">
        <v>47</v>
      </c>
      <c r="B29" s="36" t="s">
        <v>49</v>
      </c>
      <c r="C29" s="36">
        <v>1</v>
      </c>
      <c r="F29" s="36" t="s">
        <v>101</v>
      </c>
    </row>
    <row r="30" spans="1:6" s="36" customFormat="1">
      <c r="A30" s="36" t="s">
        <v>47</v>
      </c>
      <c r="B30" s="36" t="s">
        <v>51</v>
      </c>
      <c r="C30" s="36">
        <v>1</v>
      </c>
      <c r="F30" s="36" t="s">
        <v>102</v>
      </c>
    </row>
    <row r="31" spans="1:6" s="36" customFormat="1">
      <c r="A31" s="36" t="s">
        <v>47</v>
      </c>
      <c r="B31" s="36" t="s">
        <v>53</v>
      </c>
      <c r="C31" s="36">
        <v>1</v>
      </c>
      <c r="F31" s="36" t="s">
        <v>53</v>
      </c>
    </row>
    <row r="32" spans="1:6" s="20" customFormat="1">
      <c r="A32" s="20" t="s">
        <v>55</v>
      </c>
      <c r="B32" s="20" t="s">
        <v>7</v>
      </c>
      <c r="C32" s="20">
        <v>1</v>
      </c>
      <c r="F32" s="20" t="s">
        <v>103</v>
      </c>
    </row>
    <row r="33" spans="1:6" s="20" customFormat="1">
      <c r="A33" s="20" t="s">
        <v>55</v>
      </c>
      <c r="B33" s="20" t="s">
        <v>57</v>
      </c>
      <c r="C33" s="20">
        <v>1</v>
      </c>
      <c r="F33" s="20" t="s">
        <v>57</v>
      </c>
    </row>
    <row r="34" spans="1:6" s="20" customFormat="1">
      <c r="A34" s="20" t="s">
        <v>55</v>
      </c>
      <c r="B34" s="20" t="s">
        <v>59</v>
      </c>
      <c r="C34" s="20">
        <v>1</v>
      </c>
      <c r="F34" s="20" t="s">
        <v>104</v>
      </c>
    </row>
    <row r="35" spans="1:6" s="24" customFormat="1">
      <c r="A35" s="24" t="s">
        <v>60</v>
      </c>
      <c r="B35" s="24" t="s">
        <v>7</v>
      </c>
      <c r="C35" s="24">
        <v>1</v>
      </c>
      <c r="F35" s="24" t="s">
        <v>105</v>
      </c>
    </row>
    <row r="36" spans="1:6" s="24" customFormat="1">
      <c r="A36" s="24" t="s">
        <v>60</v>
      </c>
      <c r="B36" s="24" t="s">
        <v>62</v>
      </c>
      <c r="C36" s="24">
        <v>1</v>
      </c>
      <c r="F36" s="24" t="s">
        <v>62</v>
      </c>
    </row>
    <row r="37" spans="1:6" s="37" customFormat="1">
      <c r="A37" s="37" t="s">
        <v>64</v>
      </c>
      <c r="B37" s="37" t="s">
        <v>7</v>
      </c>
      <c r="C37" s="37">
        <v>1</v>
      </c>
      <c r="F37" s="37" t="s">
        <v>106</v>
      </c>
    </row>
    <row r="38" spans="1:6" s="37" customFormat="1">
      <c r="A38" s="37" t="s">
        <v>64</v>
      </c>
      <c r="B38" s="37" t="s">
        <v>7</v>
      </c>
      <c r="C38" s="37">
        <v>2</v>
      </c>
      <c r="F38" s="37" t="s">
        <v>107</v>
      </c>
    </row>
    <row r="39" spans="1:6" s="37" customFormat="1">
      <c r="A39" s="37" t="s">
        <v>64</v>
      </c>
      <c r="B39" s="37" t="s">
        <v>7</v>
      </c>
      <c r="C39" s="37">
        <v>3</v>
      </c>
      <c r="F39" s="37" t="s">
        <v>108</v>
      </c>
    </row>
    <row r="40" spans="1:6" s="37" customFormat="1">
      <c r="A40" s="37" t="s">
        <v>64</v>
      </c>
      <c r="B40" s="37" t="s">
        <v>66</v>
      </c>
      <c r="C40" s="37">
        <v>1</v>
      </c>
      <c r="F40" s="37" t="s">
        <v>109</v>
      </c>
    </row>
    <row r="41" spans="1:6" s="38" customFormat="1">
      <c r="A41" s="38" t="s">
        <v>68</v>
      </c>
      <c r="B41" s="38" t="s">
        <v>7</v>
      </c>
      <c r="C41" s="38">
        <v>1</v>
      </c>
      <c r="F41" s="38" t="s">
        <v>110</v>
      </c>
    </row>
    <row r="42" spans="1:6" s="28" customFormat="1">
      <c r="A42" s="28" t="s">
        <v>69</v>
      </c>
      <c r="B42" s="28" t="s">
        <v>7</v>
      </c>
      <c r="C42" s="28">
        <v>1</v>
      </c>
      <c r="F42" s="28" t="s">
        <v>111</v>
      </c>
    </row>
    <row r="43" spans="1:6" s="28" customFormat="1">
      <c r="A43" s="28" t="s">
        <v>69</v>
      </c>
      <c r="B43" s="28" t="s">
        <v>7</v>
      </c>
      <c r="C43" s="28">
        <v>2</v>
      </c>
      <c r="F43" s="28" t="s">
        <v>112</v>
      </c>
    </row>
    <row r="44" spans="1:6" s="39" customFormat="1">
      <c r="A44" s="39" t="s">
        <v>71</v>
      </c>
      <c r="B44" s="39" t="s">
        <v>7</v>
      </c>
      <c r="C44" s="39">
        <v>1</v>
      </c>
      <c r="F44" s="39" t="s">
        <v>7</v>
      </c>
    </row>
    <row r="45" spans="1:6" s="30" customFormat="1">
      <c r="A45" s="30" t="s">
        <v>72</v>
      </c>
      <c r="B45" s="30" t="s">
        <v>7</v>
      </c>
      <c r="C45" s="30">
        <v>1</v>
      </c>
      <c r="F45" s="30" t="s">
        <v>113</v>
      </c>
    </row>
    <row r="46" spans="1:6" s="30" customFormat="1">
      <c r="A46" s="30" t="s">
        <v>72</v>
      </c>
      <c r="B46" s="30" t="s">
        <v>7</v>
      </c>
      <c r="C46" s="30">
        <v>2</v>
      </c>
      <c r="F46" s="30" t="s">
        <v>114</v>
      </c>
    </row>
    <row r="47" spans="1:6" s="30" customFormat="1">
      <c r="A47" s="30" t="s">
        <v>72</v>
      </c>
      <c r="B47" s="30" t="s">
        <v>7</v>
      </c>
      <c r="C47" s="30">
        <v>3</v>
      </c>
      <c r="F47" s="30" t="s">
        <v>115</v>
      </c>
    </row>
    <row r="48" spans="1:6" s="30" customFormat="1">
      <c r="A48" s="30" t="s">
        <v>72</v>
      </c>
      <c r="B48" s="30" t="s">
        <v>74</v>
      </c>
      <c r="C48" s="30">
        <v>1</v>
      </c>
      <c r="F48" s="30" t="s">
        <v>116</v>
      </c>
    </row>
    <row r="49" spans="1:6" s="10" customFormat="1">
      <c r="A49" s="10" t="s">
        <v>76</v>
      </c>
      <c r="B49" s="10" t="s">
        <v>7</v>
      </c>
      <c r="C49" s="10">
        <v>1</v>
      </c>
      <c r="F49" s="10" t="s">
        <v>7</v>
      </c>
    </row>
    <row r="50" spans="1:6" s="32" customFormat="1">
      <c r="A50" s="32" t="s">
        <v>77</v>
      </c>
      <c r="B50" s="32" t="s">
        <v>7</v>
      </c>
      <c r="C50" s="32">
        <v>1</v>
      </c>
      <c r="F50" s="32" t="s">
        <v>7</v>
      </c>
    </row>
  </sheetData>
  <sheetProtection selectLockedCells="1" selectUnlockedCells="1"/>
  <pageMargins left="0.75" right="0.75" top="1" bottom="1" header="0.51180555555555551" footer="0.51180555555555551"/>
  <pageSetup paperSize="9" firstPageNumber="0" pageOrder="overThenDown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9"/>
  <sheetViews>
    <sheetView tabSelected="1" zoomScale="120" zoomScaleNormal="120" workbookViewId="0">
      <pane ySplit="1" topLeftCell="A2" activePane="bottomLeft" state="frozen"/>
      <selection pane="bottomLeft" activeCell="D15" sqref="D15"/>
    </sheetView>
  </sheetViews>
  <sheetFormatPr defaultColWidth="8.42578125" defaultRowHeight="12.75"/>
  <cols>
    <col min="1" max="1" width="10.42578125" customWidth="1"/>
    <col min="2" max="2" width="12.42578125" customWidth="1"/>
    <col min="3" max="3" width="25.85546875" customWidth="1"/>
    <col min="4" max="4" width="17.5703125" customWidth="1"/>
    <col min="5" max="5" width="30.5703125" customWidth="1"/>
    <col min="6" max="7" width="14.42578125" customWidth="1"/>
    <col min="8" max="8" width="15.42578125" customWidth="1"/>
  </cols>
  <sheetData>
    <row r="1" spans="1:9" s="1" customFormat="1">
      <c r="A1" s="1" t="s">
        <v>0</v>
      </c>
      <c r="B1" s="1" t="s">
        <v>117</v>
      </c>
      <c r="C1" s="1" t="s">
        <v>118</v>
      </c>
      <c r="D1" s="1" t="s">
        <v>1</v>
      </c>
      <c r="E1" s="1" t="s">
        <v>2</v>
      </c>
      <c r="F1" s="1" t="s">
        <v>119</v>
      </c>
      <c r="G1" s="1" t="s">
        <v>120</v>
      </c>
      <c r="H1" s="1" t="s">
        <v>5</v>
      </c>
      <c r="I1" s="1" t="s">
        <v>121</v>
      </c>
    </row>
    <row r="2" spans="1:9">
      <c r="A2" t="s">
        <v>6</v>
      </c>
      <c r="B2" t="s">
        <v>15</v>
      </c>
      <c r="D2" t="s">
        <v>122</v>
      </c>
      <c r="F2" t="s">
        <v>15</v>
      </c>
      <c r="G2" t="s">
        <v>15</v>
      </c>
      <c r="H2" t="s">
        <v>11</v>
      </c>
    </row>
    <row r="3" spans="1:9">
      <c r="A3" t="s">
        <v>6</v>
      </c>
      <c r="B3" t="s">
        <v>15</v>
      </c>
      <c r="C3" t="s">
        <v>123</v>
      </c>
      <c r="D3" t="s">
        <v>33</v>
      </c>
      <c r="E3" t="s">
        <v>34</v>
      </c>
      <c r="F3" t="s">
        <v>15</v>
      </c>
      <c r="G3" t="s">
        <v>15</v>
      </c>
      <c r="H3" t="s">
        <v>11</v>
      </c>
    </row>
    <row r="4" spans="1:9">
      <c r="A4" t="s">
        <v>6</v>
      </c>
      <c r="B4" t="s">
        <v>15</v>
      </c>
      <c r="C4" t="s">
        <v>123</v>
      </c>
      <c r="D4" t="s">
        <v>124</v>
      </c>
      <c r="E4" t="s">
        <v>32</v>
      </c>
      <c r="F4" t="s">
        <v>15</v>
      </c>
      <c r="G4" t="s">
        <v>15</v>
      </c>
      <c r="H4" t="s">
        <v>11</v>
      </c>
    </row>
    <row r="5" spans="1:9">
      <c r="A5" t="s">
        <v>6</v>
      </c>
      <c r="B5" t="s">
        <v>15</v>
      </c>
      <c r="D5" t="s">
        <v>125</v>
      </c>
      <c r="E5" t="s">
        <v>126</v>
      </c>
      <c r="F5" t="s">
        <v>15</v>
      </c>
      <c r="G5" t="s">
        <v>15</v>
      </c>
      <c r="H5" t="s">
        <v>11</v>
      </c>
    </row>
    <row r="6" spans="1:9">
      <c r="A6" t="s">
        <v>6</v>
      </c>
      <c r="B6" t="s">
        <v>15</v>
      </c>
      <c r="D6" t="s">
        <v>127</v>
      </c>
      <c r="E6" t="s">
        <v>128</v>
      </c>
      <c r="F6" t="s">
        <v>15</v>
      </c>
      <c r="G6" t="s">
        <v>15</v>
      </c>
      <c r="H6" t="s">
        <v>11</v>
      </c>
    </row>
    <row r="7" spans="1:9">
      <c r="A7" t="s">
        <v>6</v>
      </c>
      <c r="B7" t="s">
        <v>15</v>
      </c>
      <c r="C7" t="s">
        <v>129</v>
      </c>
      <c r="D7" t="s">
        <v>130</v>
      </c>
      <c r="E7" t="s">
        <v>131</v>
      </c>
      <c r="F7" t="s">
        <v>15</v>
      </c>
      <c r="G7" t="s">
        <v>15</v>
      </c>
      <c r="H7" t="s">
        <v>132</v>
      </c>
    </row>
    <row r="8" spans="1:9">
      <c r="A8" t="s">
        <v>6</v>
      </c>
      <c r="B8" t="s">
        <v>15</v>
      </c>
      <c r="D8" t="s">
        <v>133</v>
      </c>
      <c r="E8" t="s">
        <v>134</v>
      </c>
      <c r="F8" t="s">
        <v>15</v>
      </c>
      <c r="G8" t="s">
        <v>10</v>
      </c>
      <c r="H8" t="s">
        <v>11</v>
      </c>
    </row>
    <row r="9" spans="1:9">
      <c r="A9" t="s">
        <v>6</v>
      </c>
      <c r="B9" t="s">
        <v>15</v>
      </c>
      <c r="C9" t="s">
        <v>135</v>
      </c>
      <c r="D9" t="s">
        <v>136</v>
      </c>
      <c r="E9" t="s">
        <v>137</v>
      </c>
      <c r="F9" t="s">
        <v>15</v>
      </c>
      <c r="G9" t="s">
        <v>15</v>
      </c>
      <c r="H9" t="s">
        <v>132</v>
      </c>
    </row>
    <row r="10" spans="1:9">
      <c r="A10" t="s">
        <v>6</v>
      </c>
      <c r="B10" t="s">
        <v>15</v>
      </c>
      <c r="D10" t="s">
        <v>138</v>
      </c>
      <c r="E10" t="s">
        <v>8</v>
      </c>
      <c r="F10" t="s">
        <v>15</v>
      </c>
      <c r="G10" t="s">
        <v>15</v>
      </c>
      <c r="H10" t="s">
        <v>11</v>
      </c>
    </row>
    <row r="11" spans="1:9">
      <c r="A11" t="s">
        <v>6</v>
      </c>
      <c r="B11" t="s">
        <v>15</v>
      </c>
      <c r="C11" t="s">
        <v>139</v>
      </c>
      <c r="D11" t="s">
        <v>140</v>
      </c>
      <c r="E11" t="s">
        <v>141</v>
      </c>
      <c r="F11" t="s">
        <v>15</v>
      </c>
      <c r="G11" t="s">
        <v>15</v>
      </c>
      <c r="H11" t="s">
        <v>132</v>
      </c>
    </row>
    <row r="12" spans="1:9">
      <c r="A12" t="s">
        <v>6</v>
      </c>
      <c r="B12" t="s">
        <v>15</v>
      </c>
      <c r="C12" t="s">
        <v>142</v>
      </c>
      <c r="D12" t="s">
        <v>143</v>
      </c>
      <c r="E12" t="s">
        <v>144</v>
      </c>
      <c r="F12" t="s">
        <v>15</v>
      </c>
      <c r="G12" t="s">
        <v>15</v>
      </c>
      <c r="H12" t="s">
        <v>11</v>
      </c>
    </row>
    <row r="13" spans="1:9">
      <c r="A13" t="s">
        <v>6</v>
      </c>
      <c r="B13" t="s">
        <v>15</v>
      </c>
      <c r="C13" t="s">
        <v>142</v>
      </c>
      <c r="D13" t="s">
        <v>145</v>
      </c>
      <c r="E13" t="s">
        <v>146</v>
      </c>
      <c r="F13" t="s">
        <v>15</v>
      </c>
      <c r="G13" t="s">
        <v>15</v>
      </c>
      <c r="H13" t="s">
        <v>11</v>
      </c>
    </row>
    <row r="14" spans="1:9">
      <c r="A14" t="s">
        <v>6</v>
      </c>
      <c r="B14" t="s">
        <v>15</v>
      </c>
      <c r="D14" t="s">
        <v>147</v>
      </c>
      <c r="E14" t="s">
        <v>148</v>
      </c>
      <c r="F14" t="s">
        <v>15</v>
      </c>
      <c r="G14" t="s">
        <v>10</v>
      </c>
      <c r="H14" t="s">
        <v>149</v>
      </c>
    </row>
    <row r="15" spans="1:9">
      <c r="A15" t="s">
        <v>6</v>
      </c>
      <c r="B15" t="s">
        <v>15</v>
      </c>
      <c r="C15" t="s">
        <v>150</v>
      </c>
      <c r="D15" t="s">
        <v>151</v>
      </c>
      <c r="E15" t="s">
        <v>152</v>
      </c>
      <c r="F15" t="s">
        <v>15</v>
      </c>
      <c r="G15" t="s">
        <v>15</v>
      </c>
      <c r="H15" t="s">
        <v>11</v>
      </c>
    </row>
    <row r="16" spans="1:9">
      <c r="A16" t="s">
        <v>28</v>
      </c>
      <c r="B16" t="s">
        <v>15</v>
      </c>
      <c r="C16" t="s">
        <v>123</v>
      </c>
      <c r="D16" t="s">
        <v>153</v>
      </c>
      <c r="E16" t="s">
        <v>154</v>
      </c>
      <c r="F16" t="s">
        <v>15</v>
      </c>
      <c r="G16" t="s">
        <v>15</v>
      </c>
      <c r="H16" t="s">
        <v>11</v>
      </c>
    </row>
    <row r="17" spans="1:8">
      <c r="A17" t="s">
        <v>28</v>
      </c>
      <c r="B17" t="s">
        <v>15</v>
      </c>
      <c r="C17" t="s">
        <v>123</v>
      </c>
      <c r="D17" t="s">
        <v>31</v>
      </c>
      <c r="E17" t="s">
        <v>155</v>
      </c>
      <c r="F17" t="s">
        <v>15</v>
      </c>
      <c r="G17" t="s">
        <v>15</v>
      </c>
      <c r="H17" t="s">
        <v>11</v>
      </c>
    </row>
    <row r="18" spans="1:8">
      <c r="A18" t="s">
        <v>28</v>
      </c>
      <c r="B18" t="s">
        <v>15</v>
      </c>
      <c r="C18" t="s">
        <v>123</v>
      </c>
      <c r="D18" t="s">
        <v>156</v>
      </c>
      <c r="E18" t="s">
        <v>157</v>
      </c>
      <c r="F18" t="s">
        <v>15</v>
      </c>
      <c r="G18" t="s">
        <v>15</v>
      </c>
      <c r="H18" t="s">
        <v>11</v>
      </c>
    </row>
    <row r="19" spans="1:8">
      <c r="A19" t="s">
        <v>28</v>
      </c>
      <c r="B19" t="s">
        <v>15</v>
      </c>
      <c r="C19" t="s">
        <v>123</v>
      </c>
      <c r="D19" t="s">
        <v>35</v>
      </c>
      <c r="E19" t="s">
        <v>158</v>
      </c>
      <c r="F19" t="s">
        <v>15</v>
      </c>
      <c r="G19" t="s">
        <v>15</v>
      </c>
      <c r="H19" t="s">
        <v>11</v>
      </c>
    </row>
    <row r="20" spans="1:8">
      <c r="A20" t="s">
        <v>28</v>
      </c>
      <c r="B20" t="s">
        <v>15</v>
      </c>
      <c r="C20" t="s">
        <v>123</v>
      </c>
      <c r="D20" t="s">
        <v>33</v>
      </c>
      <c r="E20" t="s">
        <v>159</v>
      </c>
      <c r="F20" t="s">
        <v>15</v>
      </c>
      <c r="G20" t="s">
        <v>15</v>
      </c>
      <c r="H20" t="s">
        <v>11</v>
      </c>
    </row>
    <row r="21" spans="1:8">
      <c r="A21" t="s">
        <v>28</v>
      </c>
      <c r="B21" t="s">
        <v>15</v>
      </c>
      <c r="D21" t="s">
        <v>122</v>
      </c>
      <c r="F21" t="s">
        <v>15</v>
      </c>
      <c r="G21" t="s">
        <v>15</v>
      </c>
      <c r="H21" t="s">
        <v>11</v>
      </c>
    </row>
    <row r="22" spans="1:8">
      <c r="A22" t="s">
        <v>28</v>
      </c>
      <c r="B22" t="s">
        <v>15</v>
      </c>
      <c r="D22" t="s">
        <v>160</v>
      </c>
      <c r="E22" t="s">
        <v>161</v>
      </c>
      <c r="F22" t="s">
        <v>15</v>
      </c>
      <c r="G22" t="s">
        <v>15</v>
      </c>
      <c r="H22" t="s">
        <v>11</v>
      </c>
    </row>
    <row r="23" spans="1:8">
      <c r="A23" t="s">
        <v>28</v>
      </c>
      <c r="B23" t="s">
        <v>15</v>
      </c>
      <c r="C23" t="s">
        <v>123</v>
      </c>
      <c r="D23" t="s">
        <v>162</v>
      </c>
      <c r="E23" t="s">
        <v>85</v>
      </c>
      <c r="F23" t="s">
        <v>15</v>
      </c>
      <c r="G23" t="s">
        <v>15</v>
      </c>
      <c r="H23" t="s">
        <v>11</v>
      </c>
    </row>
    <row r="24" spans="1:8">
      <c r="A24" t="s">
        <v>28</v>
      </c>
      <c r="B24" t="s">
        <v>15</v>
      </c>
      <c r="D24" t="s">
        <v>7</v>
      </c>
      <c r="E24" t="s">
        <v>41</v>
      </c>
      <c r="F24" t="s">
        <v>15</v>
      </c>
      <c r="G24" t="s">
        <v>15</v>
      </c>
      <c r="H24" t="s">
        <v>11</v>
      </c>
    </row>
    <row r="25" spans="1:8">
      <c r="A25" t="s">
        <v>28</v>
      </c>
      <c r="B25" t="s">
        <v>15</v>
      </c>
      <c r="D25" t="s">
        <v>163</v>
      </c>
      <c r="E25" t="s">
        <v>164</v>
      </c>
      <c r="F25" t="s">
        <v>15</v>
      </c>
      <c r="G25" t="s">
        <v>10</v>
      </c>
      <c r="H25" t="s">
        <v>11</v>
      </c>
    </row>
    <row r="26" spans="1:8">
      <c r="A26" t="s">
        <v>28</v>
      </c>
      <c r="B26" t="s">
        <v>15</v>
      </c>
      <c r="C26" t="s">
        <v>142</v>
      </c>
      <c r="D26" t="s">
        <v>143</v>
      </c>
      <c r="E26" t="s">
        <v>144</v>
      </c>
      <c r="F26" t="s">
        <v>15</v>
      </c>
      <c r="G26" t="s">
        <v>15</v>
      </c>
      <c r="H26" t="s">
        <v>11</v>
      </c>
    </row>
    <row r="27" spans="1:8">
      <c r="A27" t="s">
        <v>39</v>
      </c>
      <c r="B27" t="s">
        <v>15</v>
      </c>
      <c r="D27" t="s">
        <v>160</v>
      </c>
      <c r="E27" t="s">
        <v>161</v>
      </c>
      <c r="F27" t="s">
        <v>15</v>
      </c>
      <c r="G27" t="s">
        <v>15</v>
      </c>
      <c r="H27" t="s">
        <v>11</v>
      </c>
    </row>
    <row r="28" spans="1:8">
      <c r="A28" t="s">
        <v>39</v>
      </c>
      <c r="B28" t="s">
        <v>15</v>
      </c>
      <c r="C28" t="s">
        <v>123</v>
      </c>
      <c r="D28" t="s">
        <v>124</v>
      </c>
      <c r="E28" t="s">
        <v>165</v>
      </c>
      <c r="F28" t="s">
        <v>15</v>
      </c>
      <c r="G28" t="s">
        <v>15</v>
      </c>
      <c r="H28" t="s">
        <v>11</v>
      </c>
    </row>
    <row r="29" spans="1:8">
      <c r="A29" t="s">
        <v>39</v>
      </c>
      <c r="B29" t="s">
        <v>15</v>
      </c>
      <c r="C29" t="s">
        <v>123</v>
      </c>
      <c r="D29" t="s">
        <v>166</v>
      </c>
      <c r="E29" t="s">
        <v>167</v>
      </c>
      <c r="F29" t="s">
        <v>15</v>
      </c>
      <c r="G29" t="s">
        <v>15</v>
      </c>
      <c r="H29" t="s">
        <v>11</v>
      </c>
    </row>
    <row r="30" spans="1:8">
      <c r="A30" t="s">
        <v>39</v>
      </c>
      <c r="B30" t="s">
        <v>15</v>
      </c>
      <c r="D30" t="s">
        <v>86</v>
      </c>
      <c r="E30" t="s">
        <v>168</v>
      </c>
      <c r="F30" t="s">
        <v>15</v>
      </c>
      <c r="G30" t="s">
        <v>15</v>
      </c>
      <c r="H30" t="s">
        <v>11</v>
      </c>
    </row>
    <row r="31" spans="1:8">
      <c r="A31" t="s">
        <v>39</v>
      </c>
      <c r="B31" t="s">
        <v>15</v>
      </c>
      <c r="D31" t="s">
        <v>7</v>
      </c>
      <c r="E31" t="s">
        <v>41</v>
      </c>
      <c r="F31" t="s">
        <v>15</v>
      </c>
      <c r="G31" t="s">
        <v>15</v>
      </c>
      <c r="H31" t="s">
        <v>11</v>
      </c>
    </row>
    <row r="32" spans="1:8">
      <c r="A32" t="s">
        <v>39</v>
      </c>
      <c r="B32" t="s">
        <v>15</v>
      </c>
      <c r="D32" t="s">
        <v>169</v>
      </c>
      <c r="E32" t="s">
        <v>170</v>
      </c>
      <c r="F32" t="s">
        <v>15</v>
      </c>
      <c r="G32" t="s">
        <v>15</v>
      </c>
      <c r="H32" t="s">
        <v>11</v>
      </c>
    </row>
    <row r="33" spans="1:8">
      <c r="A33" t="s">
        <v>39</v>
      </c>
      <c r="B33" t="s">
        <v>15</v>
      </c>
      <c r="C33" t="s">
        <v>142</v>
      </c>
      <c r="D33" t="s">
        <v>143</v>
      </c>
      <c r="E33" t="s">
        <v>144</v>
      </c>
      <c r="F33" t="s">
        <v>15</v>
      </c>
      <c r="G33" t="s">
        <v>15</v>
      </c>
      <c r="H33" t="s">
        <v>11</v>
      </c>
    </row>
    <row r="34" spans="1:8">
      <c r="A34" t="s">
        <v>171</v>
      </c>
      <c r="B34" t="s">
        <v>15</v>
      </c>
      <c r="D34" t="s">
        <v>86</v>
      </c>
      <c r="E34" t="s">
        <v>168</v>
      </c>
      <c r="F34" t="s">
        <v>15</v>
      </c>
      <c r="G34" t="s">
        <v>15</v>
      </c>
      <c r="H34" t="s">
        <v>11</v>
      </c>
    </row>
    <row r="35" spans="1:8">
      <c r="A35" t="s">
        <v>171</v>
      </c>
      <c r="B35" t="s">
        <v>15</v>
      </c>
      <c r="C35" t="s">
        <v>123</v>
      </c>
      <c r="D35" t="s">
        <v>124</v>
      </c>
      <c r="E35" t="s">
        <v>165</v>
      </c>
      <c r="F35" t="s">
        <v>15</v>
      </c>
      <c r="G35" t="s">
        <v>15</v>
      </c>
      <c r="H35" t="s">
        <v>11</v>
      </c>
    </row>
    <row r="36" spans="1:8">
      <c r="A36" t="s">
        <v>171</v>
      </c>
      <c r="B36" t="s">
        <v>15</v>
      </c>
      <c r="D36" t="s">
        <v>172</v>
      </c>
      <c r="E36" t="s">
        <v>173</v>
      </c>
      <c r="F36" t="s">
        <v>15</v>
      </c>
      <c r="G36" t="s">
        <v>15</v>
      </c>
      <c r="H36" t="s">
        <v>149</v>
      </c>
    </row>
    <row r="37" spans="1:8">
      <c r="A37" t="s">
        <v>171</v>
      </c>
      <c r="B37" t="s">
        <v>15</v>
      </c>
      <c r="C37" t="s">
        <v>142</v>
      </c>
      <c r="D37" t="s">
        <v>143</v>
      </c>
      <c r="E37" t="s">
        <v>144</v>
      </c>
      <c r="F37" t="s">
        <v>15</v>
      </c>
      <c r="G37" t="s">
        <v>15</v>
      </c>
      <c r="H37" t="s">
        <v>11</v>
      </c>
    </row>
    <row r="38" spans="1:8">
      <c r="A38" t="s">
        <v>174</v>
      </c>
      <c r="B38" t="s">
        <v>15</v>
      </c>
      <c r="D38" t="s">
        <v>7</v>
      </c>
      <c r="E38" t="s">
        <v>175</v>
      </c>
      <c r="F38" t="s">
        <v>15</v>
      </c>
      <c r="G38" t="s">
        <v>15</v>
      </c>
      <c r="H38" t="s">
        <v>11</v>
      </c>
    </row>
    <row r="39" spans="1:8">
      <c r="A39" t="s">
        <v>174</v>
      </c>
      <c r="B39" t="s">
        <v>15</v>
      </c>
      <c r="C39" t="s">
        <v>142</v>
      </c>
      <c r="D39" t="s">
        <v>143</v>
      </c>
      <c r="E39" t="s">
        <v>144</v>
      </c>
      <c r="F39" t="s">
        <v>15</v>
      </c>
      <c r="G39" t="s">
        <v>15</v>
      </c>
      <c r="H39" t="s">
        <v>11</v>
      </c>
    </row>
    <row r="40" spans="1:8">
      <c r="A40" t="s">
        <v>40</v>
      </c>
      <c r="B40" t="s">
        <v>15</v>
      </c>
      <c r="D40" t="s">
        <v>7</v>
      </c>
      <c r="E40" t="s">
        <v>161</v>
      </c>
      <c r="F40" t="s">
        <v>15</v>
      </c>
      <c r="G40" t="s">
        <v>15</v>
      </c>
      <c r="H40" t="s">
        <v>11</v>
      </c>
    </row>
    <row r="41" spans="1:8">
      <c r="A41" t="s">
        <v>40</v>
      </c>
      <c r="B41" t="s">
        <v>15</v>
      </c>
      <c r="C41" t="s">
        <v>142</v>
      </c>
      <c r="D41" t="s">
        <v>143</v>
      </c>
      <c r="E41" t="s">
        <v>144</v>
      </c>
      <c r="F41" t="s">
        <v>15</v>
      </c>
      <c r="G41" t="s">
        <v>15</v>
      </c>
      <c r="H41" t="s">
        <v>11</v>
      </c>
    </row>
    <row r="42" spans="1:8">
      <c r="A42" s="3" t="s">
        <v>176</v>
      </c>
      <c r="B42" t="s">
        <v>15</v>
      </c>
      <c r="D42" t="s">
        <v>7</v>
      </c>
      <c r="E42" t="s">
        <v>177</v>
      </c>
      <c r="F42" t="s">
        <v>15</v>
      </c>
      <c r="G42" t="s">
        <v>15</v>
      </c>
      <c r="H42" t="s">
        <v>11</v>
      </c>
    </row>
    <row r="43" spans="1:8">
      <c r="A43" s="3" t="s">
        <v>176</v>
      </c>
      <c r="B43" t="s">
        <v>15</v>
      </c>
      <c r="C43" t="s">
        <v>142</v>
      </c>
      <c r="D43" t="s">
        <v>143</v>
      </c>
      <c r="E43" t="s">
        <v>144</v>
      </c>
      <c r="F43" t="s">
        <v>15</v>
      </c>
      <c r="G43" t="s">
        <v>15</v>
      </c>
      <c r="H43" t="s">
        <v>11</v>
      </c>
    </row>
    <row r="44" spans="1:8">
      <c r="A44" t="s">
        <v>46</v>
      </c>
      <c r="B44" t="s">
        <v>15</v>
      </c>
      <c r="D44" t="s">
        <v>122</v>
      </c>
      <c r="F44" t="s">
        <v>15</v>
      </c>
      <c r="G44" t="s">
        <v>15</v>
      </c>
      <c r="H44" t="s">
        <v>11</v>
      </c>
    </row>
    <row r="45" spans="1:8">
      <c r="A45" t="s">
        <v>46</v>
      </c>
      <c r="B45" t="s">
        <v>15</v>
      </c>
      <c r="D45" t="s">
        <v>7</v>
      </c>
      <c r="E45" t="s">
        <v>41</v>
      </c>
      <c r="F45" t="s">
        <v>15</v>
      </c>
      <c r="G45" t="s">
        <v>15</v>
      </c>
      <c r="H45" t="s">
        <v>11</v>
      </c>
    </row>
    <row r="46" spans="1:8">
      <c r="A46" t="s">
        <v>46</v>
      </c>
      <c r="B46" t="s">
        <v>15</v>
      </c>
      <c r="C46" t="s">
        <v>142</v>
      </c>
      <c r="D46" t="s">
        <v>143</v>
      </c>
      <c r="E46" t="s">
        <v>144</v>
      </c>
      <c r="F46" t="s">
        <v>15</v>
      </c>
      <c r="G46" t="s">
        <v>15</v>
      </c>
      <c r="H46" t="s">
        <v>11</v>
      </c>
    </row>
    <row r="47" spans="1:8">
      <c r="A47" t="s">
        <v>46</v>
      </c>
      <c r="B47" t="s">
        <v>15</v>
      </c>
      <c r="C47" t="s">
        <v>142</v>
      </c>
      <c r="D47" t="s">
        <v>178</v>
      </c>
      <c r="E47" t="s">
        <v>179</v>
      </c>
      <c r="F47" t="s">
        <v>15</v>
      </c>
      <c r="G47" t="s">
        <v>15</v>
      </c>
      <c r="H47" t="s">
        <v>11</v>
      </c>
    </row>
    <row r="48" spans="1:8">
      <c r="A48" t="s">
        <v>46</v>
      </c>
      <c r="B48" t="s">
        <v>15</v>
      </c>
      <c r="C48" t="s">
        <v>142</v>
      </c>
      <c r="D48" t="s">
        <v>145</v>
      </c>
      <c r="E48" t="s">
        <v>146</v>
      </c>
      <c r="F48" t="s">
        <v>15</v>
      </c>
      <c r="G48" t="s">
        <v>15</v>
      </c>
      <c r="H48" t="s">
        <v>11</v>
      </c>
    </row>
    <row r="49" spans="1:8">
      <c r="A49" t="s">
        <v>46</v>
      </c>
      <c r="B49" t="s">
        <v>15</v>
      </c>
      <c r="C49" t="s">
        <v>150</v>
      </c>
      <c r="D49" t="s">
        <v>95</v>
      </c>
      <c r="E49" t="s">
        <v>180</v>
      </c>
      <c r="F49" t="s">
        <v>15</v>
      </c>
      <c r="G49" t="s">
        <v>15</v>
      </c>
      <c r="H49" t="s">
        <v>11</v>
      </c>
    </row>
    <row r="50" spans="1:8">
      <c r="A50" t="s">
        <v>181</v>
      </c>
      <c r="B50" t="s">
        <v>15</v>
      </c>
      <c r="D50" t="s">
        <v>7</v>
      </c>
      <c r="E50" t="s">
        <v>41</v>
      </c>
      <c r="F50" t="s">
        <v>15</v>
      </c>
      <c r="G50" t="s">
        <v>15</v>
      </c>
      <c r="H50" t="s">
        <v>11</v>
      </c>
    </row>
    <row r="51" spans="1:8">
      <c r="A51" t="s">
        <v>181</v>
      </c>
      <c r="B51" t="s">
        <v>15</v>
      </c>
      <c r="C51" t="s">
        <v>142</v>
      </c>
      <c r="D51" t="s">
        <v>143</v>
      </c>
      <c r="E51" t="s">
        <v>144</v>
      </c>
      <c r="F51" t="s">
        <v>15</v>
      </c>
      <c r="G51" t="s">
        <v>15</v>
      </c>
      <c r="H51" t="s">
        <v>11</v>
      </c>
    </row>
    <row r="52" spans="1:8">
      <c r="A52" t="s">
        <v>181</v>
      </c>
      <c r="B52" t="s">
        <v>15</v>
      </c>
      <c r="C52" t="s">
        <v>142</v>
      </c>
      <c r="D52" t="s">
        <v>178</v>
      </c>
      <c r="E52" t="s">
        <v>144</v>
      </c>
      <c r="F52" t="s">
        <v>15</v>
      </c>
      <c r="G52" t="s">
        <v>15</v>
      </c>
      <c r="H52" t="s">
        <v>11</v>
      </c>
    </row>
    <row r="53" spans="1:8">
      <c r="A53" t="s">
        <v>181</v>
      </c>
      <c r="B53" t="s">
        <v>15</v>
      </c>
      <c r="C53" t="s">
        <v>142</v>
      </c>
      <c r="D53" t="s">
        <v>145</v>
      </c>
      <c r="E53" t="s">
        <v>144</v>
      </c>
      <c r="F53" t="s">
        <v>15</v>
      </c>
      <c r="G53" t="s">
        <v>15</v>
      </c>
      <c r="H53" t="s">
        <v>11</v>
      </c>
    </row>
    <row r="54" spans="1:8">
      <c r="A54" t="s">
        <v>182</v>
      </c>
      <c r="B54" t="s">
        <v>15</v>
      </c>
      <c r="D54" t="s">
        <v>7</v>
      </c>
      <c r="E54" t="s">
        <v>41</v>
      </c>
      <c r="F54" t="s">
        <v>15</v>
      </c>
      <c r="G54" t="s">
        <v>15</v>
      </c>
      <c r="H54" t="s">
        <v>11</v>
      </c>
    </row>
    <row r="55" spans="1:8">
      <c r="A55" t="s">
        <v>182</v>
      </c>
      <c r="B55" t="s">
        <v>15</v>
      </c>
      <c r="C55" t="s">
        <v>142</v>
      </c>
      <c r="D55" t="s">
        <v>143</v>
      </c>
      <c r="E55" t="s">
        <v>144</v>
      </c>
      <c r="F55" t="s">
        <v>15</v>
      </c>
      <c r="G55" t="s">
        <v>15</v>
      </c>
      <c r="H55" t="s">
        <v>11</v>
      </c>
    </row>
    <row r="56" spans="1:8">
      <c r="A56" t="s">
        <v>182</v>
      </c>
      <c r="B56" t="s">
        <v>15</v>
      </c>
      <c r="C56" t="s">
        <v>142</v>
      </c>
      <c r="D56" t="s">
        <v>178</v>
      </c>
      <c r="E56" t="s">
        <v>144</v>
      </c>
      <c r="F56" t="s">
        <v>15</v>
      </c>
      <c r="G56" t="s">
        <v>15</v>
      </c>
      <c r="H56" t="s">
        <v>11</v>
      </c>
    </row>
    <row r="57" spans="1:8">
      <c r="A57" t="s">
        <v>182</v>
      </c>
      <c r="B57" t="s">
        <v>15</v>
      </c>
      <c r="C57" t="s">
        <v>142</v>
      </c>
      <c r="D57" t="s">
        <v>145</v>
      </c>
      <c r="E57" t="s">
        <v>144</v>
      </c>
      <c r="F57" t="s">
        <v>15</v>
      </c>
      <c r="G57" t="s">
        <v>15</v>
      </c>
      <c r="H57" t="s">
        <v>11</v>
      </c>
    </row>
    <row r="58" spans="1:8">
      <c r="A58" t="s">
        <v>182</v>
      </c>
      <c r="B58" t="s">
        <v>15</v>
      </c>
      <c r="D58" t="s">
        <v>183</v>
      </c>
      <c r="E58" t="s">
        <v>184</v>
      </c>
      <c r="F58" t="s">
        <v>15</v>
      </c>
      <c r="G58" t="s">
        <v>15</v>
      </c>
      <c r="H58" t="s">
        <v>11</v>
      </c>
    </row>
    <row r="59" spans="1:8">
      <c r="A59" t="s">
        <v>182</v>
      </c>
      <c r="B59" t="s">
        <v>15</v>
      </c>
      <c r="D59" t="s">
        <v>185</v>
      </c>
      <c r="E59" t="s">
        <v>186</v>
      </c>
      <c r="F59" t="s">
        <v>15</v>
      </c>
      <c r="G59" t="s">
        <v>15</v>
      </c>
      <c r="H59" t="s">
        <v>11</v>
      </c>
    </row>
  </sheetData>
  <sheetProtection selectLockedCells="1" selectUnlockedCells="1"/>
  <pageMargins left="0.75" right="0.75" top="1" bottom="1" header="0.51180555555555551" footer="0.51180555555555551"/>
  <pageSetup paperSize="9" firstPageNumber="0" pageOrder="overThenDown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34"/>
  <sheetViews>
    <sheetView zoomScale="120" zoomScaleNormal="120" workbookViewId="0">
      <pane ySplit="1" topLeftCell="A2" activePane="bottomLeft" state="frozen"/>
      <selection pane="bottomLeft" activeCell="F59" sqref="F59"/>
    </sheetView>
  </sheetViews>
  <sheetFormatPr defaultColWidth="8.42578125" defaultRowHeight="12.75"/>
  <cols>
    <col min="1" max="1" width="15.5703125" customWidth="1"/>
    <col min="2" max="2" width="18.42578125" customWidth="1"/>
    <col min="3" max="4" width="7.85546875" customWidth="1"/>
    <col min="5" max="5" width="14.7109375" customWidth="1"/>
    <col min="6" max="6" width="21.42578125" customWidth="1"/>
    <col min="7" max="9" width="12.42578125" customWidth="1"/>
    <col min="10" max="10" width="22.28515625" customWidth="1"/>
    <col min="11" max="11" width="15.7109375" customWidth="1"/>
    <col min="12" max="12" width="17.85546875" customWidth="1"/>
    <col min="13" max="13" width="15.28515625" customWidth="1"/>
    <col min="14" max="14" width="15.85546875" customWidth="1"/>
    <col min="15" max="15" width="19.7109375" customWidth="1"/>
    <col min="16" max="16" width="14.42578125" customWidth="1"/>
  </cols>
  <sheetData>
    <row r="1" spans="1:16" s="1" customFormat="1" ht="15">
      <c r="A1" s="1" t="s">
        <v>0</v>
      </c>
      <c r="B1" s="1" t="s">
        <v>187</v>
      </c>
      <c r="C1" s="1" t="s">
        <v>79</v>
      </c>
      <c r="D1" s="1" t="s">
        <v>188</v>
      </c>
      <c r="E1" s="1" t="s">
        <v>189</v>
      </c>
      <c r="F1" s="1" t="s">
        <v>190</v>
      </c>
      <c r="G1" s="1" t="s">
        <v>191</v>
      </c>
      <c r="H1" s="1" t="s">
        <v>192</v>
      </c>
      <c r="I1" s="1" t="s">
        <v>2</v>
      </c>
      <c r="J1" s="1" t="s">
        <v>193</v>
      </c>
      <c r="K1" s="1" t="s">
        <v>194</v>
      </c>
      <c r="L1" s="1" t="s">
        <v>195</v>
      </c>
      <c r="M1" s="1" t="s">
        <v>80</v>
      </c>
      <c r="N1" s="1" t="s">
        <v>81</v>
      </c>
      <c r="O1" s="4" t="s">
        <v>196</v>
      </c>
      <c r="P1" s="4" t="s">
        <v>197</v>
      </c>
    </row>
    <row r="2" spans="1:16">
      <c r="A2" t="s">
        <v>28</v>
      </c>
      <c r="B2" t="s">
        <v>160</v>
      </c>
      <c r="C2">
        <v>1</v>
      </c>
      <c r="D2">
        <v>1</v>
      </c>
      <c r="E2" t="s">
        <v>190</v>
      </c>
      <c r="F2" t="s">
        <v>198</v>
      </c>
      <c r="I2" t="s">
        <v>199</v>
      </c>
      <c r="J2" t="s">
        <v>15</v>
      </c>
      <c r="L2" t="s">
        <v>15</v>
      </c>
      <c r="O2" t="s">
        <v>200</v>
      </c>
    </row>
    <row r="3" spans="1:16">
      <c r="A3" t="s">
        <v>28</v>
      </c>
      <c r="B3" t="s">
        <v>160</v>
      </c>
      <c r="C3">
        <v>2</v>
      </c>
      <c r="D3">
        <v>1</v>
      </c>
      <c r="E3" t="s">
        <v>190</v>
      </c>
      <c r="F3" t="s">
        <v>201</v>
      </c>
      <c r="I3" t="s">
        <v>202</v>
      </c>
      <c r="J3" t="s">
        <v>15</v>
      </c>
      <c r="L3" t="s">
        <v>15</v>
      </c>
      <c r="O3" t="s">
        <v>200</v>
      </c>
    </row>
    <row r="4" spans="1:16">
      <c r="A4" t="s">
        <v>28</v>
      </c>
      <c r="B4" t="s">
        <v>160</v>
      </c>
      <c r="C4">
        <v>3</v>
      </c>
      <c r="D4">
        <v>1</v>
      </c>
      <c r="E4" t="s">
        <v>190</v>
      </c>
      <c r="F4" t="s">
        <v>203</v>
      </c>
      <c r="I4" t="s">
        <v>161</v>
      </c>
      <c r="J4" t="s">
        <v>15</v>
      </c>
      <c r="K4" t="s">
        <v>204</v>
      </c>
      <c r="L4" t="s">
        <v>15</v>
      </c>
      <c r="O4" t="s">
        <v>200</v>
      </c>
    </row>
    <row r="5" spans="1:16">
      <c r="A5" t="s">
        <v>28</v>
      </c>
      <c r="B5" t="s">
        <v>122</v>
      </c>
      <c r="C5">
        <v>1</v>
      </c>
      <c r="D5">
        <v>1</v>
      </c>
      <c r="E5" t="s">
        <v>190</v>
      </c>
      <c r="F5" t="s">
        <v>205</v>
      </c>
      <c r="J5" t="s">
        <v>15</v>
      </c>
      <c r="K5" t="s">
        <v>122</v>
      </c>
      <c r="L5" t="s">
        <v>15</v>
      </c>
      <c r="N5" t="s">
        <v>206</v>
      </c>
      <c r="O5" t="s">
        <v>200</v>
      </c>
    </row>
    <row r="6" spans="1:16">
      <c r="A6" t="s">
        <v>28</v>
      </c>
      <c r="B6" t="s">
        <v>7</v>
      </c>
      <c r="C6">
        <v>1</v>
      </c>
      <c r="D6">
        <v>1</v>
      </c>
      <c r="E6" t="s">
        <v>207</v>
      </c>
      <c r="F6" t="s">
        <v>208</v>
      </c>
      <c r="G6" t="s">
        <v>209</v>
      </c>
      <c r="H6" t="s">
        <v>210</v>
      </c>
      <c r="J6" t="s">
        <v>15</v>
      </c>
      <c r="K6" t="s">
        <v>211</v>
      </c>
      <c r="L6" t="s">
        <v>15</v>
      </c>
      <c r="N6" t="s">
        <v>212</v>
      </c>
    </row>
    <row r="7" spans="1:16">
      <c r="A7" t="s">
        <v>28</v>
      </c>
      <c r="B7" t="s">
        <v>7</v>
      </c>
      <c r="C7">
        <v>1</v>
      </c>
      <c r="D7">
        <v>2</v>
      </c>
      <c r="E7" t="s">
        <v>190</v>
      </c>
      <c r="F7" t="s">
        <v>213</v>
      </c>
      <c r="I7" t="s">
        <v>214</v>
      </c>
      <c r="J7" t="s">
        <v>15</v>
      </c>
      <c r="K7" t="s">
        <v>215</v>
      </c>
      <c r="L7" t="s">
        <v>15</v>
      </c>
      <c r="O7" t="s">
        <v>200</v>
      </c>
    </row>
    <row r="8" spans="1:16">
      <c r="A8" t="s">
        <v>28</v>
      </c>
      <c r="B8" t="s">
        <v>7</v>
      </c>
      <c r="C8">
        <v>1</v>
      </c>
      <c r="D8">
        <v>2</v>
      </c>
      <c r="E8" t="s">
        <v>190</v>
      </c>
      <c r="F8" t="s">
        <v>216</v>
      </c>
      <c r="I8" t="s">
        <v>217</v>
      </c>
      <c r="J8" t="s">
        <v>15</v>
      </c>
      <c r="K8" t="s">
        <v>215</v>
      </c>
      <c r="L8" t="s">
        <v>15</v>
      </c>
      <c r="O8" t="s">
        <v>200</v>
      </c>
    </row>
    <row r="9" spans="1:16">
      <c r="A9" t="s">
        <v>28</v>
      </c>
      <c r="B9" t="s">
        <v>7</v>
      </c>
      <c r="C9">
        <v>1</v>
      </c>
      <c r="D9">
        <v>2</v>
      </c>
      <c r="E9" t="s">
        <v>190</v>
      </c>
      <c r="F9" t="s">
        <v>218</v>
      </c>
      <c r="I9" t="s">
        <v>219</v>
      </c>
      <c r="J9" t="s">
        <v>15</v>
      </c>
      <c r="K9" t="s">
        <v>220</v>
      </c>
      <c r="L9" t="s">
        <v>15</v>
      </c>
      <c r="O9" t="s">
        <v>200</v>
      </c>
    </row>
    <row r="10" spans="1:16">
      <c r="A10" t="s">
        <v>28</v>
      </c>
      <c r="B10" t="s">
        <v>7</v>
      </c>
      <c r="C10">
        <v>1</v>
      </c>
      <c r="D10">
        <v>2</v>
      </c>
      <c r="E10" t="s">
        <v>190</v>
      </c>
      <c r="F10" t="s">
        <v>221</v>
      </c>
      <c r="I10" t="s">
        <v>222</v>
      </c>
      <c r="J10" t="s">
        <v>15</v>
      </c>
      <c r="K10" t="s">
        <v>215</v>
      </c>
      <c r="L10" t="s">
        <v>15</v>
      </c>
      <c r="O10" t="s">
        <v>200</v>
      </c>
    </row>
    <row r="11" spans="1:16">
      <c r="A11" t="s">
        <v>28</v>
      </c>
      <c r="B11" t="s">
        <v>163</v>
      </c>
      <c r="C11">
        <v>1</v>
      </c>
      <c r="D11">
        <v>1</v>
      </c>
      <c r="E11" t="s">
        <v>207</v>
      </c>
      <c r="F11" t="s">
        <v>208</v>
      </c>
      <c r="G11" t="s">
        <v>209</v>
      </c>
      <c r="H11" t="s">
        <v>210</v>
      </c>
      <c r="J11" t="s">
        <v>15</v>
      </c>
      <c r="K11" t="s">
        <v>211</v>
      </c>
      <c r="L11" t="s">
        <v>15</v>
      </c>
      <c r="N11" t="s">
        <v>212</v>
      </c>
    </row>
    <row r="12" spans="1:16">
      <c r="A12" t="s">
        <v>28</v>
      </c>
      <c r="B12" t="s">
        <v>163</v>
      </c>
      <c r="C12">
        <v>1</v>
      </c>
      <c r="D12">
        <v>2</v>
      </c>
      <c r="E12" t="s">
        <v>190</v>
      </c>
      <c r="F12" t="s">
        <v>205</v>
      </c>
      <c r="I12" t="s">
        <v>223</v>
      </c>
      <c r="J12" t="s">
        <v>15</v>
      </c>
      <c r="L12" t="s">
        <v>15</v>
      </c>
      <c r="N12" t="s">
        <v>206</v>
      </c>
      <c r="O12" t="s">
        <v>200</v>
      </c>
    </row>
    <row r="13" spans="1:16">
      <c r="A13" t="s">
        <v>28</v>
      </c>
      <c r="B13" t="s">
        <v>163</v>
      </c>
      <c r="C13">
        <v>1</v>
      </c>
      <c r="D13">
        <v>2</v>
      </c>
      <c r="E13" t="s">
        <v>190</v>
      </c>
      <c r="F13" t="s">
        <v>213</v>
      </c>
      <c r="I13" t="s">
        <v>214</v>
      </c>
      <c r="J13" t="s">
        <v>15</v>
      </c>
      <c r="K13" t="s">
        <v>215</v>
      </c>
      <c r="L13" t="s">
        <v>15</v>
      </c>
      <c r="O13" t="s">
        <v>200</v>
      </c>
    </row>
    <row r="14" spans="1:16">
      <c r="A14" t="s">
        <v>28</v>
      </c>
      <c r="B14" t="s">
        <v>163</v>
      </c>
      <c r="C14">
        <v>1</v>
      </c>
      <c r="D14">
        <v>2</v>
      </c>
      <c r="E14" t="s">
        <v>190</v>
      </c>
      <c r="F14" t="s">
        <v>216</v>
      </c>
      <c r="I14" t="s">
        <v>217</v>
      </c>
      <c r="J14" t="s">
        <v>15</v>
      </c>
      <c r="K14" t="s">
        <v>215</v>
      </c>
      <c r="L14" t="s">
        <v>15</v>
      </c>
      <c r="O14" t="s">
        <v>200</v>
      </c>
    </row>
    <row r="15" spans="1:16">
      <c r="A15" t="s">
        <v>28</v>
      </c>
      <c r="B15" t="s">
        <v>163</v>
      </c>
      <c r="C15">
        <v>1</v>
      </c>
      <c r="D15">
        <v>2</v>
      </c>
      <c r="E15" t="s">
        <v>190</v>
      </c>
      <c r="F15" t="s">
        <v>218</v>
      </c>
      <c r="I15" t="s">
        <v>219</v>
      </c>
      <c r="J15" t="s">
        <v>15</v>
      </c>
      <c r="K15" t="s">
        <v>220</v>
      </c>
      <c r="L15" t="s">
        <v>15</v>
      </c>
      <c r="O15" t="s">
        <v>200</v>
      </c>
    </row>
    <row r="16" spans="1:16">
      <c r="A16" t="s">
        <v>28</v>
      </c>
      <c r="B16" t="s">
        <v>163</v>
      </c>
      <c r="C16">
        <v>1</v>
      </c>
      <c r="D16">
        <v>2</v>
      </c>
      <c r="E16" t="s">
        <v>190</v>
      </c>
      <c r="F16" t="s">
        <v>201</v>
      </c>
      <c r="I16" t="s">
        <v>202</v>
      </c>
      <c r="J16" t="s">
        <v>15</v>
      </c>
      <c r="L16" t="s">
        <v>15</v>
      </c>
      <c r="O16" t="s">
        <v>200</v>
      </c>
    </row>
    <row r="17" spans="1:15">
      <c r="A17" t="s">
        <v>28</v>
      </c>
      <c r="B17" t="s">
        <v>163</v>
      </c>
      <c r="C17">
        <v>1</v>
      </c>
      <c r="D17">
        <v>2</v>
      </c>
      <c r="E17" t="s">
        <v>190</v>
      </c>
      <c r="F17" t="s">
        <v>198</v>
      </c>
      <c r="I17" t="s">
        <v>199</v>
      </c>
      <c r="J17" t="s">
        <v>15</v>
      </c>
      <c r="L17" t="s">
        <v>15</v>
      </c>
      <c r="O17" t="s">
        <v>200</v>
      </c>
    </row>
    <row r="18" spans="1:15">
      <c r="A18" t="s">
        <v>39</v>
      </c>
      <c r="B18" t="s">
        <v>160</v>
      </c>
      <c r="C18">
        <v>2</v>
      </c>
      <c r="D18">
        <v>1</v>
      </c>
      <c r="E18" t="s">
        <v>190</v>
      </c>
      <c r="F18" t="s">
        <v>203</v>
      </c>
      <c r="I18" t="s">
        <v>161</v>
      </c>
      <c r="J18" t="s">
        <v>15</v>
      </c>
      <c r="K18" t="s">
        <v>204</v>
      </c>
      <c r="L18" t="s">
        <v>15</v>
      </c>
      <c r="O18" t="s">
        <v>200</v>
      </c>
    </row>
    <row r="19" spans="1:15">
      <c r="A19" t="s">
        <v>39</v>
      </c>
      <c r="B19" t="s">
        <v>160</v>
      </c>
      <c r="C19">
        <v>1</v>
      </c>
      <c r="D19">
        <v>1</v>
      </c>
      <c r="E19" t="s">
        <v>190</v>
      </c>
      <c r="F19" t="s">
        <v>224</v>
      </c>
      <c r="I19" t="s">
        <v>225</v>
      </c>
      <c r="J19" t="s">
        <v>15</v>
      </c>
      <c r="K19" t="s">
        <v>226</v>
      </c>
      <c r="L19" t="s">
        <v>15</v>
      </c>
      <c r="O19" t="s">
        <v>200</v>
      </c>
    </row>
    <row r="20" spans="1:15">
      <c r="A20" t="s">
        <v>39</v>
      </c>
      <c r="B20" t="s">
        <v>86</v>
      </c>
      <c r="C20">
        <v>1</v>
      </c>
      <c r="D20">
        <v>1</v>
      </c>
      <c r="E20" t="s">
        <v>207</v>
      </c>
      <c r="F20" t="s">
        <v>208</v>
      </c>
      <c r="G20" t="s">
        <v>209</v>
      </c>
      <c r="H20" t="s">
        <v>210</v>
      </c>
      <c r="J20" t="s">
        <v>15</v>
      </c>
      <c r="K20" t="s">
        <v>211</v>
      </c>
      <c r="L20" t="s">
        <v>15</v>
      </c>
      <c r="N20" t="s">
        <v>212</v>
      </c>
    </row>
    <row r="21" spans="1:15">
      <c r="A21" t="s">
        <v>39</v>
      </c>
      <c r="B21" t="s">
        <v>86</v>
      </c>
      <c r="C21">
        <v>1</v>
      </c>
      <c r="D21">
        <v>2</v>
      </c>
      <c r="E21" t="s">
        <v>190</v>
      </c>
      <c r="F21" s="5" t="s">
        <v>227</v>
      </c>
      <c r="I21" t="s">
        <v>228</v>
      </c>
      <c r="J21" t="s">
        <v>15</v>
      </c>
      <c r="L21" t="s">
        <v>15</v>
      </c>
      <c r="N21" s="2" t="s">
        <v>206</v>
      </c>
      <c r="O21" t="s">
        <v>200</v>
      </c>
    </row>
    <row r="22" spans="1:15">
      <c r="A22" t="s">
        <v>39</v>
      </c>
      <c r="B22" t="s">
        <v>86</v>
      </c>
      <c r="C22">
        <v>1</v>
      </c>
      <c r="D22">
        <v>2</v>
      </c>
      <c r="E22" t="s">
        <v>190</v>
      </c>
      <c r="F22" t="s">
        <v>205</v>
      </c>
      <c r="I22" t="s">
        <v>229</v>
      </c>
      <c r="J22" t="s">
        <v>15</v>
      </c>
      <c r="L22" t="s">
        <v>15</v>
      </c>
      <c r="O22" t="s">
        <v>200</v>
      </c>
    </row>
    <row r="23" spans="1:15">
      <c r="A23" t="s">
        <v>39</v>
      </c>
      <c r="B23" t="s">
        <v>86</v>
      </c>
      <c r="C23">
        <v>1</v>
      </c>
      <c r="D23">
        <v>2</v>
      </c>
      <c r="E23" t="s">
        <v>190</v>
      </c>
      <c r="F23" t="s">
        <v>230</v>
      </c>
      <c r="I23" t="s">
        <v>231</v>
      </c>
      <c r="J23" t="s">
        <v>15</v>
      </c>
      <c r="K23" t="s">
        <v>215</v>
      </c>
      <c r="L23" t="s">
        <v>15</v>
      </c>
      <c r="O23" t="s">
        <v>200</v>
      </c>
    </row>
    <row r="24" spans="1:15">
      <c r="A24" t="s">
        <v>39</v>
      </c>
      <c r="B24" t="s">
        <v>86</v>
      </c>
      <c r="C24">
        <v>1</v>
      </c>
      <c r="D24">
        <v>2</v>
      </c>
      <c r="E24" t="s">
        <v>190</v>
      </c>
      <c r="F24" t="s">
        <v>232</v>
      </c>
      <c r="I24" t="s">
        <v>233</v>
      </c>
      <c r="J24" t="s">
        <v>15</v>
      </c>
      <c r="K24" t="s">
        <v>215</v>
      </c>
      <c r="L24" t="s">
        <v>15</v>
      </c>
      <c r="O24" t="s">
        <v>200</v>
      </c>
    </row>
    <row r="25" spans="1:15">
      <c r="A25" t="s">
        <v>39</v>
      </c>
      <c r="B25" t="s">
        <v>86</v>
      </c>
      <c r="C25">
        <v>1</v>
      </c>
      <c r="D25">
        <v>2</v>
      </c>
      <c r="E25" t="s">
        <v>190</v>
      </c>
      <c r="F25" s="5" t="s">
        <v>234</v>
      </c>
      <c r="I25" t="s">
        <v>235</v>
      </c>
      <c r="J25" t="s">
        <v>15</v>
      </c>
      <c r="L25" t="s">
        <v>15</v>
      </c>
      <c r="O25" t="s">
        <v>200</v>
      </c>
    </row>
    <row r="26" spans="1:15">
      <c r="A26" t="s">
        <v>39</v>
      </c>
      <c r="B26" t="s">
        <v>86</v>
      </c>
      <c r="C26">
        <v>1</v>
      </c>
      <c r="D26">
        <v>2</v>
      </c>
      <c r="E26" t="s">
        <v>190</v>
      </c>
      <c r="F26" s="5" t="s">
        <v>236</v>
      </c>
      <c r="I26" t="s">
        <v>237</v>
      </c>
      <c r="J26" t="s">
        <v>15</v>
      </c>
      <c r="L26" t="s">
        <v>15</v>
      </c>
      <c r="O26" t="s">
        <v>200</v>
      </c>
    </row>
    <row r="27" spans="1:15">
      <c r="A27" t="s">
        <v>39</v>
      </c>
      <c r="B27" t="s">
        <v>86</v>
      </c>
      <c r="C27">
        <v>2</v>
      </c>
      <c r="D27">
        <v>1</v>
      </c>
      <c r="E27" t="s">
        <v>190</v>
      </c>
      <c r="F27" s="5" t="s">
        <v>238</v>
      </c>
      <c r="I27" t="s">
        <v>239</v>
      </c>
      <c r="J27" t="s">
        <v>15</v>
      </c>
      <c r="K27" t="s">
        <v>220</v>
      </c>
      <c r="L27" t="s">
        <v>15</v>
      </c>
      <c r="O27" t="s">
        <v>240</v>
      </c>
    </row>
    <row r="28" spans="1:15">
      <c r="A28" t="s">
        <v>39</v>
      </c>
      <c r="B28" t="s">
        <v>86</v>
      </c>
      <c r="C28">
        <v>2</v>
      </c>
      <c r="D28">
        <v>2</v>
      </c>
      <c r="E28" t="s">
        <v>190</v>
      </c>
      <c r="F28" s="5" t="s">
        <v>241</v>
      </c>
      <c r="I28" t="s">
        <v>242</v>
      </c>
      <c r="J28" t="s">
        <v>15</v>
      </c>
      <c r="K28" t="s">
        <v>220</v>
      </c>
      <c r="L28" t="s">
        <v>15</v>
      </c>
      <c r="O28" t="s">
        <v>240</v>
      </c>
    </row>
    <row r="29" spans="1:15">
      <c r="A29" t="s">
        <v>39</v>
      </c>
      <c r="B29" t="s">
        <v>7</v>
      </c>
      <c r="C29">
        <v>1</v>
      </c>
      <c r="D29">
        <v>1</v>
      </c>
      <c r="E29" t="s">
        <v>190</v>
      </c>
      <c r="F29" t="s">
        <v>243</v>
      </c>
      <c r="I29" t="s">
        <v>244</v>
      </c>
      <c r="J29" t="s">
        <v>15</v>
      </c>
      <c r="K29" t="s">
        <v>215</v>
      </c>
      <c r="L29" t="s">
        <v>15</v>
      </c>
      <c r="O29" t="s">
        <v>200</v>
      </c>
    </row>
    <row r="30" spans="1:15">
      <c r="A30" t="s">
        <v>39</v>
      </c>
      <c r="B30" t="s">
        <v>7</v>
      </c>
      <c r="C30">
        <v>2</v>
      </c>
      <c r="D30">
        <v>1</v>
      </c>
      <c r="E30" t="s">
        <v>190</v>
      </c>
      <c r="F30" t="s">
        <v>245</v>
      </c>
      <c r="I30" t="s">
        <v>246</v>
      </c>
      <c r="J30" t="s">
        <v>15</v>
      </c>
      <c r="K30" t="s">
        <v>215</v>
      </c>
      <c r="L30" t="s">
        <v>15</v>
      </c>
      <c r="O30" t="s">
        <v>200</v>
      </c>
    </row>
    <row r="31" spans="1:15">
      <c r="A31" t="s">
        <v>39</v>
      </c>
      <c r="B31" t="s">
        <v>7</v>
      </c>
      <c r="C31">
        <v>3</v>
      </c>
      <c r="D31">
        <v>1</v>
      </c>
      <c r="E31" t="s">
        <v>190</v>
      </c>
      <c r="F31" t="s">
        <v>247</v>
      </c>
      <c r="I31" t="s">
        <v>248</v>
      </c>
      <c r="J31" t="s">
        <v>15</v>
      </c>
      <c r="K31" t="s">
        <v>215</v>
      </c>
      <c r="L31" t="s">
        <v>15</v>
      </c>
      <c r="O31" t="s">
        <v>200</v>
      </c>
    </row>
    <row r="32" spans="1:15">
      <c r="A32" t="s">
        <v>39</v>
      </c>
      <c r="B32" t="s">
        <v>7</v>
      </c>
      <c r="C32">
        <v>4</v>
      </c>
      <c r="D32">
        <v>1</v>
      </c>
      <c r="E32" t="s">
        <v>190</v>
      </c>
      <c r="F32" t="s">
        <v>249</v>
      </c>
      <c r="I32" t="s">
        <v>250</v>
      </c>
      <c r="J32" t="s">
        <v>15</v>
      </c>
      <c r="K32" t="s">
        <v>215</v>
      </c>
      <c r="L32" t="s">
        <v>15</v>
      </c>
      <c r="O32" t="s">
        <v>200</v>
      </c>
    </row>
    <row r="33" spans="1:15">
      <c r="A33" t="s">
        <v>39</v>
      </c>
      <c r="B33" t="s">
        <v>7</v>
      </c>
      <c r="C33">
        <v>5</v>
      </c>
      <c r="D33">
        <v>1</v>
      </c>
      <c r="E33" t="s">
        <v>190</v>
      </c>
      <c r="F33" s="5" t="s">
        <v>251</v>
      </c>
      <c r="I33" t="s">
        <v>252</v>
      </c>
      <c r="J33" t="s">
        <v>15</v>
      </c>
      <c r="K33" t="s">
        <v>253</v>
      </c>
      <c r="L33" t="s">
        <v>15</v>
      </c>
      <c r="O33" t="s">
        <v>200</v>
      </c>
    </row>
    <row r="34" spans="1:15">
      <c r="A34" t="s">
        <v>39</v>
      </c>
      <c r="B34" t="s">
        <v>7</v>
      </c>
      <c r="C34">
        <v>6</v>
      </c>
      <c r="D34">
        <v>1</v>
      </c>
      <c r="E34" t="s">
        <v>190</v>
      </c>
      <c r="F34" t="s">
        <v>254</v>
      </c>
      <c r="I34" t="s">
        <v>255</v>
      </c>
      <c r="J34" t="s">
        <v>15</v>
      </c>
      <c r="L34" t="s">
        <v>15</v>
      </c>
      <c r="O34" t="s">
        <v>200</v>
      </c>
    </row>
    <row r="35" spans="1:15">
      <c r="A35" t="s">
        <v>39</v>
      </c>
      <c r="B35" t="s">
        <v>169</v>
      </c>
      <c r="C35">
        <v>1</v>
      </c>
      <c r="D35">
        <v>1</v>
      </c>
      <c r="E35" t="s">
        <v>207</v>
      </c>
      <c r="F35" t="s">
        <v>208</v>
      </c>
      <c r="G35" t="s">
        <v>209</v>
      </c>
      <c r="H35" t="s">
        <v>210</v>
      </c>
      <c r="J35" t="s">
        <v>15</v>
      </c>
      <c r="K35" t="s">
        <v>211</v>
      </c>
      <c r="L35" t="s">
        <v>15</v>
      </c>
      <c r="N35" t="s">
        <v>212</v>
      </c>
    </row>
    <row r="36" spans="1:15">
      <c r="A36" t="s">
        <v>39</v>
      </c>
      <c r="B36" t="s">
        <v>169</v>
      </c>
      <c r="C36">
        <v>1</v>
      </c>
      <c r="D36">
        <v>2</v>
      </c>
      <c r="E36" t="s">
        <v>190</v>
      </c>
      <c r="F36" t="s">
        <v>205</v>
      </c>
      <c r="I36" t="s">
        <v>229</v>
      </c>
      <c r="J36" t="s">
        <v>15</v>
      </c>
      <c r="L36" t="s">
        <v>15</v>
      </c>
      <c r="N36" s="2" t="s">
        <v>206</v>
      </c>
      <c r="O36" t="s">
        <v>200</v>
      </c>
    </row>
    <row r="37" spans="1:15">
      <c r="A37" t="s">
        <v>39</v>
      </c>
      <c r="B37" t="s">
        <v>169</v>
      </c>
      <c r="C37">
        <v>1</v>
      </c>
      <c r="D37">
        <v>2</v>
      </c>
      <c r="E37" t="s">
        <v>190</v>
      </c>
      <c r="F37" s="5" t="s">
        <v>234</v>
      </c>
      <c r="I37" t="s">
        <v>235</v>
      </c>
      <c r="J37" t="s">
        <v>15</v>
      </c>
      <c r="L37" t="s">
        <v>15</v>
      </c>
      <c r="O37" t="s">
        <v>200</v>
      </c>
    </row>
    <row r="38" spans="1:15">
      <c r="A38" t="s">
        <v>39</v>
      </c>
      <c r="B38" t="s">
        <v>169</v>
      </c>
      <c r="C38">
        <v>1</v>
      </c>
      <c r="D38">
        <v>2</v>
      </c>
      <c r="E38" t="s">
        <v>190</v>
      </c>
      <c r="F38" s="5" t="s">
        <v>236</v>
      </c>
      <c r="I38" t="s">
        <v>237</v>
      </c>
      <c r="J38" t="s">
        <v>15</v>
      </c>
      <c r="L38" t="s">
        <v>15</v>
      </c>
      <c r="O38" t="s">
        <v>200</v>
      </c>
    </row>
    <row r="39" spans="1:15">
      <c r="A39" t="s">
        <v>39</v>
      </c>
      <c r="B39" t="s">
        <v>169</v>
      </c>
      <c r="C39">
        <v>1</v>
      </c>
      <c r="D39">
        <v>2</v>
      </c>
      <c r="E39" t="s">
        <v>190</v>
      </c>
      <c r="F39" s="5" t="s">
        <v>238</v>
      </c>
      <c r="I39" t="s">
        <v>239</v>
      </c>
      <c r="J39" t="s">
        <v>15</v>
      </c>
      <c r="K39" t="s">
        <v>220</v>
      </c>
      <c r="L39" t="s">
        <v>15</v>
      </c>
      <c r="O39" t="s">
        <v>200</v>
      </c>
    </row>
    <row r="40" spans="1:15">
      <c r="A40" t="s">
        <v>39</v>
      </c>
      <c r="B40" t="s">
        <v>169</v>
      </c>
      <c r="C40">
        <v>1</v>
      </c>
      <c r="D40">
        <v>2</v>
      </c>
      <c r="E40" t="s">
        <v>190</v>
      </c>
      <c r="F40" s="5" t="s">
        <v>241</v>
      </c>
      <c r="I40" t="s">
        <v>242</v>
      </c>
      <c r="J40" t="s">
        <v>15</v>
      </c>
      <c r="K40" t="s">
        <v>220</v>
      </c>
      <c r="L40" t="s">
        <v>15</v>
      </c>
      <c r="O40" t="s">
        <v>200</v>
      </c>
    </row>
    <row r="41" spans="1:15">
      <c r="A41" t="s">
        <v>171</v>
      </c>
      <c r="B41" t="s">
        <v>86</v>
      </c>
      <c r="C41">
        <v>2</v>
      </c>
      <c r="D41">
        <v>1</v>
      </c>
      <c r="E41" t="s">
        <v>190</v>
      </c>
      <c r="F41" t="s">
        <v>256</v>
      </c>
      <c r="I41" t="s">
        <v>39</v>
      </c>
      <c r="J41" t="s">
        <v>15</v>
      </c>
      <c r="K41" t="s">
        <v>215</v>
      </c>
      <c r="L41" t="s">
        <v>15</v>
      </c>
      <c r="O41" t="s">
        <v>200</v>
      </c>
    </row>
    <row r="42" spans="1:15">
      <c r="A42" t="s">
        <v>171</v>
      </c>
      <c r="B42" t="s">
        <v>86</v>
      </c>
      <c r="C42">
        <v>3</v>
      </c>
      <c r="D42">
        <v>1</v>
      </c>
      <c r="E42" t="s">
        <v>190</v>
      </c>
      <c r="F42" t="s">
        <v>208</v>
      </c>
      <c r="I42" t="s">
        <v>257</v>
      </c>
      <c r="J42" t="s">
        <v>15</v>
      </c>
      <c r="L42" t="s">
        <v>15</v>
      </c>
      <c r="O42" t="s">
        <v>200</v>
      </c>
    </row>
    <row r="43" spans="1:15">
      <c r="A43" t="s">
        <v>171</v>
      </c>
      <c r="B43" t="s">
        <v>86</v>
      </c>
      <c r="C43">
        <v>4</v>
      </c>
      <c r="D43">
        <v>1</v>
      </c>
      <c r="E43" t="s">
        <v>190</v>
      </c>
      <c r="F43" t="s">
        <v>258</v>
      </c>
      <c r="I43" t="s">
        <v>259</v>
      </c>
      <c r="J43" t="s">
        <v>15</v>
      </c>
      <c r="K43" t="s">
        <v>215</v>
      </c>
      <c r="L43" t="s">
        <v>15</v>
      </c>
      <c r="O43" t="s">
        <v>200</v>
      </c>
    </row>
    <row r="44" spans="1:15">
      <c r="A44" t="s">
        <v>171</v>
      </c>
      <c r="B44" t="s">
        <v>86</v>
      </c>
      <c r="C44">
        <v>6</v>
      </c>
      <c r="D44">
        <v>1</v>
      </c>
      <c r="E44" t="s">
        <v>190</v>
      </c>
      <c r="F44" t="s">
        <v>260</v>
      </c>
      <c r="I44" t="s">
        <v>261</v>
      </c>
      <c r="J44" t="s">
        <v>15</v>
      </c>
      <c r="L44" t="s">
        <v>15</v>
      </c>
      <c r="O44" t="s">
        <v>200</v>
      </c>
    </row>
    <row r="45" spans="1:15">
      <c r="A45" t="s">
        <v>171</v>
      </c>
      <c r="B45" t="s">
        <v>86</v>
      </c>
      <c r="C45">
        <v>7</v>
      </c>
      <c r="D45">
        <v>1</v>
      </c>
      <c r="E45" t="s">
        <v>190</v>
      </c>
      <c r="F45" s="5" t="s">
        <v>251</v>
      </c>
      <c r="I45" t="s">
        <v>262</v>
      </c>
      <c r="J45" t="s">
        <v>15</v>
      </c>
      <c r="L45" t="s">
        <v>15</v>
      </c>
      <c r="O45" t="s">
        <v>200</v>
      </c>
    </row>
    <row r="46" spans="1:15">
      <c r="A46" t="s">
        <v>171</v>
      </c>
      <c r="B46" t="s">
        <v>86</v>
      </c>
      <c r="C46">
        <v>8</v>
      </c>
      <c r="D46">
        <v>1</v>
      </c>
      <c r="E46" t="s">
        <v>190</v>
      </c>
      <c r="F46" t="s">
        <v>263</v>
      </c>
      <c r="I46" t="s">
        <v>264</v>
      </c>
      <c r="J46" t="s">
        <v>15</v>
      </c>
      <c r="L46" t="s">
        <v>15</v>
      </c>
      <c r="O46" t="s">
        <v>200</v>
      </c>
    </row>
    <row r="47" spans="1:15">
      <c r="A47" t="s">
        <v>171</v>
      </c>
      <c r="B47" t="s">
        <v>86</v>
      </c>
      <c r="C47">
        <v>9</v>
      </c>
      <c r="D47">
        <v>1</v>
      </c>
      <c r="E47" t="s">
        <v>190</v>
      </c>
      <c r="F47" s="5" t="s">
        <v>234</v>
      </c>
      <c r="I47" s="3" t="s">
        <v>265</v>
      </c>
      <c r="J47" t="s">
        <v>15</v>
      </c>
      <c r="L47" t="s">
        <v>15</v>
      </c>
      <c r="O47" t="s">
        <v>200</v>
      </c>
    </row>
    <row r="48" spans="1:15">
      <c r="A48" t="s">
        <v>171</v>
      </c>
      <c r="B48" t="s">
        <v>172</v>
      </c>
      <c r="C48">
        <v>1</v>
      </c>
      <c r="D48">
        <v>1</v>
      </c>
      <c r="E48" t="s">
        <v>190</v>
      </c>
      <c r="F48" t="s">
        <v>266</v>
      </c>
      <c r="I48" t="s">
        <v>267</v>
      </c>
      <c r="J48" t="s">
        <v>15</v>
      </c>
      <c r="L48" t="s">
        <v>15</v>
      </c>
      <c r="O48" t="s">
        <v>200</v>
      </c>
    </row>
    <row r="49" spans="1:15">
      <c r="A49" t="s">
        <v>171</v>
      </c>
      <c r="B49" t="s">
        <v>172</v>
      </c>
      <c r="C49">
        <v>2</v>
      </c>
      <c r="D49">
        <v>1</v>
      </c>
      <c r="E49" t="s">
        <v>190</v>
      </c>
      <c r="F49" t="s">
        <v>268</v>
      </c>
      <c r="I49" t="s">
        <v>269</v>
      </c>
      <c r="J49" t="s">
        <v>15</v>
      </c>
      <c r="L49" t="s">
        <v>15</v>
      </c>
      <c r="O49" t="s">
        <v>200</v>
      </c>
    </row>
    <row r="50" spans="1:15">
      <c r="A50" t="s">
        <v>6</v>
      </c>
      <c r="B50" t="s">
        <v>127</v>
      </c>
      <c r="C50">
        <v>1</v>
      </c>
      <c r="D50">
        <v>1</v>
      </c>
      <c r="E50" t="s">
        <v>190</v>
      </c>
      <c r="F50" t="s">
        <v>224</v>
      </c>
      <c r="I50" t="s">
        <v>270</v>
      </c>
      <c r="J50" t="s">
        <v>15</v>
      </c>
      <c r="L50" t="s">
        <v>15</v>
      </c>
      <c r="O50" t="s">
        <v>200</v>
      </c>
    </row>
    <row r="51" spans="1:15">
      <c r="A51" t="s">
        <v>6</v>
      </c>
      <c r="B51" t="s">
        <v>127</v>
      </c>
      <c r="C51">
        <v>2</v>
      </c>
      <c r="D51">
        <v>1</v>
      </c>
      <c r="E51" t="s">
        <v>190</v>
      </c>
      <c r="F51" t="s">
        <v>271</v>
      </c>
      <c r="I51" t="s">
        <v>272</v>
      </c>
      <c r="J51" t="s">
        <v>15</v>
      </c>
      <c r="K51" t="s">
        <v>273</v>
      </c>
      <c r="L51" t="s">
        <v>15</v>
      </c>
      <c r="O51" t="s">
        <v>200</v>
      </c>
    </row>
    <row r="52" spans="1:15">
      <c r="A52" t="s">
        <v>6</v>
      </c>
      <c r="B52" t="s">
        <v>125</v>
      </c>
      <c r="C52">
        <v>1</v>
      </c>
      <c r="D52">
        <v>1</v>
      </c>
      <c r="E52" t="s">
        <v>190</v>
      </c>
      <c r="F52" t="s">
        <v>274</v>
      </c>
      <c r="I52" t="s">
        <v>275</v>
      </c>
      <c r="J52" t="s">
        <v>15</v>
      </c>
      <c r="L52" t="s">
        <v>15</v>
      </c>
      <c r="O52" t="s">
        <v>200</v>
      </c>
    </row>
    <row r="53" spans="1:15">
      <c r="A53" t="s">
        <v>6</v>
      </c>
      <c r="B53" t="s">
        <v>122</v>
      </c>
      <c r="C53">
        <v>1</v>
      </c>
      <c r="D53">
        <v>1</v>
      </c>
      <c r="E53" t="s">
        <v>190</v>
      </c>
      <c r="F53" t="s">
        <v>205</v>
      </c>
      <c r="J53" t="s">
        <v>15</v>
      </c>
      <c r="K53" t="s">
        <v>122</v>
      </c>
      <c r="L53" t="s">
        <v>15</v>
      </c>
      <c r="O53" t="s">
        <v>200</v>
      </c>
    </row>
    <row r="54" spans="1:15">
      <c r="A54" t="s">
        <v>6</v>
      </c>
      <c r="B54" t="s">
        <v>133</v>
      </c>
      <c r="C54">
        <v>2</v>
      </c>
      <c r="D54">
        <v>1</v>
      </c>
      <c r="E54" t="s">
        <v>207</v>
      </c>
      <c r="F54" t="s">
        <v>208</v>
      </c>
      <c r="G54" t="s">
        <v>276</v>
      </c>
      <c r="H54" t="s">
        <v>210</v>
      </c>
      <c r="J54" t="s">
        <v>15</v>
      </c>
      <c r="K54" t="s">
        <v>211</v>
      </c>
      <c r="L54" t="s">
        <v>15</v>
      </c>
      <c r="N54" t="s">
        <v>212</v>
      </c>
      <c r="O54" t="s">
        <v>200</v>
      </c>
    </row>
    <row r="55" spans="1:15">
      <c r="A55" t="s">
        <v>6</v>
      </c>
      <c r="B55" t="s">
        <v>133</v>
      </c>
      <c r="C55">
        <v>2</v>
      </c>
      <c r="D55">
        <v>2</v>
      </c>
      <c r="E55" t="s">
        <v>190</v>
      </c>
      <c r="F55" t="s">
        <v>205</v>
      </c>
      <c r="I55" t="s">
        <v>277</v>
      </c>
      <c r="J55" t="s">
        <v>15</v>
      </c>
      <c r="L55" t="s">
        <v>15</v>
      </c>
      <c r="N55" s="2" t="s">
        <v>206</v>
      </c>
      <c r="O55" t="s">
        <v>200</v>
      </c>
    </row>
    <row r="56" spans="1:15">
      <c r="A56" t="s">
        <v>6</v>
      </c>
      <c r="B56" t="s">
        <v>133</v>
      </c>
      <c r="C56">
        <v>2</v>
      </c>
      <c r="D56">
        <v>2</v>
      </c>
      <c r="E56" t="s">
        <v>190</v>
      </c>
      <c r="F56" t="s">
        <v>278</v>
      </c>
      <c r="I56" t="s">
        <v>279</v>
      </c>
      <c r="J56" t="s">
        <v>15</v>
      </c>
      <c r="L56" t="s">
        <v>15</v>
      </c>
      <c r="O56" t="s">
        <v>200</v>
      </c>
    </row>
    <row r="57" spans="1:15">
      <c r="A57" t="s">
        <v>6</v>
      </c>
      <c r="B57" t="s">
        <v>133</v>
      </c>
      <c r="C57">
        <v>2</v>
      </c>
      <c r="D57">
        <v>2</v>
      </c>
      <c r="E57" t="s">
        <v>190</v>
      </c>
      <c r="F57" t="s">
        <v>280</v>
      </c>
      <c r="I57" t="s">
        <v>281</v>
      </c>
      <c r="J57" t="s">
        <v>15</v>
      </c>
      <c r="L57" t="s">
        <v>15</v>
      </c>
      <c r="O57" t="s">
        <v>200</v>
      </c>
    </row>
    <row r="58" spans="1:15">
      <c r="A58" t="s">
        <v>6</v>
      </c>
      <c r="B58" t="s">
        <v>133</v>
      </c>
      <c r="C58">
        <v>2</v>
      </c>
      <c r="D58">
        <v>2</v>
      </c>
      <c r="E58" t="s">
        <v>190</v>
      </c>
      <c r="F58" t="s">
        <v>282</v>
      </c>
      <c r="I58" t="s">
        <v>283</v>
      </c>
      <c r="J58" t="s">
        <v>15</v>
      </c>
      <c r="L58" t="s">
        <v>15</v>
      </c>
      <c r="O58" t="s">
        <v>200</v>
      </c>
    </row>
    <row r="59" spans="1:15">
      <c r="A59" t="s">
        <v>6</v>
      </c>
      <c r="B59" t="s">
        <v>133</v>
      </c>
      <c r="C59">
        <v>2</v>
      </c>
      <c r="D59">
        <v>2</v>
      </c>
      <c r="E59" t="s">
        <v>190</v>
      </c>
      <c r="F59" s="5" t="s">
        <v>284</v>
      </c>
      <c r="I59" t="s">
        <v>285</v>
      </c>
      <c r="J59" t="s">
        <v>15</v>
      </c>
      <c r="K59" t="s">
        <v>215</v>
      </c>
      <c r="L59" t="s">
        <v>15</v>
      </c>
      <c r="O59" t="s">
        <v>200</v>
      </c>
    </row>
    <row r="60" spans="1:15">
      <c r="A60" t="s">
        <v>6</v>
      </c>
      <c r="B60" t="s">
        <v>133</v>
      </c>
      <c r="C60">
        <v>2</v>
      </c>
      <c r="D60">
        <v>2</v>
      </c>
      <c r="E60" t="s">
        <v>190</v>
      </c>
      <c r="F60" t="s">
        <v>286</v>
      </c>
      <c r="J60" t="s">
        <v>15</v>
      </c>
      <c r="K60" t="s">
        <v>215</v>
      </c>
      <c r="L60" t="s">
        <v>15</v>
      </c>
      <c r="O60" t="s">
        <v>200</v>
      </c>
    </row>
    <row r="61" spans="1:15">
      <c r="A61" t="s">
        <v>6</v>
      </c>
      <c r="B61" t="s">
        <v>133</v>
      </c>
      <c r="C61">
        <v>2</v>
      </c>
      <c r="D61">
        <v>2</v>
      </c>
      <c r="E61" t="s">
        <v>190</v>
      </c>
      <c r="F61" s="5" t="s">
        <v>251</v>
      </c>
      <c r="I61" t="s">
        <v>287</v>
      </c>
      <c r="J61" t="s">
        <v>15</v>
      </c>
      <c r="K61" t="s">
        <v>253</v>
      </c>
      <c r="L61" t="s">
        <v>15</v>
      </c>
      <c r="O61" t="s">
        <v>200</v>
      </c>
    </row>
    <row r="62" spans="1:15">
      <c r="A62" t="s">
        <v>6</v>
      </c>
      <c r="B62" t="s">
        <v>133</v>
      </c>
      <c r="C62">
        <v>2</v>
      </c>
      <c r="D62">
        <v>2</v>
      </c>
      <c r="E62" t="s">
        <v>190</v>
      </c>
      <c r="F62" t="s">
        <v>288</v>
      </c>
      <c r="I62" t="s">
        <v>289</v>
      </c>
      <c r="J62" t="s">
        <v>15</v>
      </c>
      <c r="K62" t="s">
        <v>290</v>
      </c>
      <c r="L62" t="s">
        <v>15</v>
      </c>
      <c r="O62" t="s">
        <v>200</v>
      </c>
    </row>
    <row r="63" spans="1:15">
      <c r="A63" t="s">
        <v>6</v>
      </c>
      <c r="B63" t="s">
        <v>133</v>
      </c>
      <c r="C63">
        <v>2</v>
      </c>
      <c r="D63">
        <v>2</v>
      </c>
      <c r="E63" t="s">
        <v>190</v>
      </c>
      <c r="F63" t="s">
        <v>291</v>
      </c>
      <c r="I63" t="s">
        <v>292</v>
      </c>
      <c r="J63" t="s">
        <v>15</v>
      </c>
      <c r="K63" t="s">
        <v>293</v>
      </c>
      <c r="L63" t="s">
        <v>15</v>
      </c>
      <c r="O63" t="s">
        <v>200</v>
      </c>
    </row>
    <row r="64" spans="1:15">
      <c r="A64" t="s">
        <v>6</v>
      </c>
      <c r="B64" t="s">
        <v>133</v>
      </c>
      <c r="C64">
        <v>2</v>
      </c>
      <c r="D64">
        <v>2</v>
      </c>
      <c r="E64" t="s">
        <v>190</v>
      </c>
      <c r="F64" s="5" t="s">
        <v>294</v>
      </c>
      <c r="I64" t="s">
        <v>295</v>
      </c>
      <c r="J64" t="s">
        <v>15</v>
      </c>
      <c r="L64" t="s">
        <v>15</v>
      </c>
      <c r="O64" t="s">
        <v>200</v>
      </c>
    </row>
    <row r="65" spans="1:15">
      <c r="A65" t="s">
        <v>6</v>
      </c>
      <c r="B65" t="s">
        <v>133</v>
      </c>
      <c r="C65">
        <v>2</v>
      </c>
      <c r="D65">
        <v>2</v>
      </c>
      <c r="E65" t="s">
        <v>190</v>
      </c>
      <c r="F65" s="5" t="s">
        <v>296</v>
      </c>
      <c r="I65" t="s">
        <v>297</v>
      </c>
      <c r="J65" t="s">
        <v>15</v>
      </c>
      <c r="L65" t="s">
        <v>15</v>
      </c>
      <c r="O65" t="s">
        <v>200</v>
      </c>
    </row>
    <row r="66" spans="1:15">
      <c r="A66" t="s">
        <v>6</v>
      </c>
      <c r="B66" t="s">
        <v>138</v>
      </c>
      <c r="C66">
        <v>1</v>
      </c>
      <c r="D66">
        <v>1</v>
      </c>
      <c r="E66" t="s">
        <v>190</v>
      </c>
      <c r="F66" t="s">
        <v>203</v>
      </c>
      <c r="I66" t="s">
        <v>298</v>
      </c>
      <c r="J66" t="s">
        <v>15</v>
      </c>
      <c r="K66" t="s">
        <v>204</v>
      </c>
      <c r="L66" t="s">
        <v>15</v>
      </c>
      <c r="O66" t="s">
        <v>200</v>
      </c>
    </row>
    <row r="67" spans="1:15">
      <c r="A67" t="s">
        <v>6</v>
      </c>
      <c r="B67" t="s">
        <v>138</v>
      </c>
      <c r="C67">
        <v>2</v>
      </c>
      <c r="D67">
        <v>1</v>
      </c>
      <c r="E67" t="s">
        <v>299</v>
      </c>
      <c r="F67" t="s">
        <v>300</v>
      </c>
      <c r="I67" t="s">
        <v>152</v>
      </c>
      <c r="J67" t="s">
        <v>15</v>
      </c>
      <c r="K67" t="s">
        <v>301</v>
      </c>
      <c r="L67" t="s">
        <v>15</v>
      </c>
      <c r="O67" t="s">
        <v>200</v>
      </c>
    </row>
    <row r="68" spans="1:15">
      <c r="A68" t="s">
        <v>6</v>
      </c>
      <c r="B68" t="s">
        <v>138</v>
      </c>
      <c r="C68">
        <v>3</v>
      </c>
      <c r="D68">
        <v>1</v>
      </c>
      <c r="E68" t="s">
        <v>299</v>
      </c>
      <c r="F68" t="s">
        <v>302</v>
      </c>
      <c r="I68" t="s">
        <v>303</v>
      </c>
      <c r="J68" t="s">
        <v>15</v>
      </c>
      <c r="K68" t="s">
        <v>301</v>
      </c>
      <c r="L68" t="s">
        <v>15</v>
      </c>
      <c r="O68" t="s">
        <v>200</v>
      </c>
    </row>
    <row r="69" spans="1:15">
      <c r="A69" t="s">
        <v>6</v>
      </c>
      <c r="B69" t="s">
        <v>138</v>
      </c>
      <c r="C69">
        <v>4</v>
      </c>
      <c r="D69">
        <v>1</v>
      </c>
      <c r="E69" t="s">
        <v>299</v>
      </c>
      <c r="F69" t="s">
        <v>274</v>
      </c>
      <c r="I69" t="s">
        <v>275</v>
      </c>
      <c r="J69" t="s">
        <v>15</v>
      </c>
      <c r="K69" t="s">
        <v>301</v>
      </c>
      <c r="L69" t="s">
        <v>15</v>
      </c>
      <c r="O69" t="s">
        <v>200</v>
      </c>
    </row>
    <row r="70" spans="1:15">
      <c r="A70" t="s">
        <v>6</v>
      </c>
      <c r="B70" t="s">
        <v>138</v>
      </c>
      <c r="C70">
        <v>5</v>
      </c>
      <c r="D70">
        <v>1</v>
      </c>
      <c r="E70" t="s">
        <v>190</v>
      </c>
      <c r="F70" t="s">
        <v>304</v>
      </c>
      <c r="I70" t="s">
        <v>199</v>
      </c>
      <c r="J70" t="s">
        <v>15</v>
      </c>
      <c r="K70" t="s">
        <v>273</v>
      </c>
      <c r="L70" t="s">
        <v>15</v>
      </c>
      <c r="O70" t="s">
        <v>200</v>
      </c>
    </row>
    <row r="71" spans="1:15">
      <c r="A71" t="s">
        <v>6</v>
      </c>
      <c r="B71" t="s">
        <v>147</v>
      </c>
      <c r="C71">
        <v>1</v>
      </c>
      <c r="D71">
        <v>1</v>
      </c>
      <c r="E71" t="s">
        <v>190</v>
      </c>
      <c r="F71" t="s">
        <v>305</v>
      </c>
      <c r="J71" t="s">
        <v>15</v>
      </c>
      <c r="L71" t="s">
        <v>15</v>
      </c>
      <c r="O71" t="s">
        <v>200</v>
      </c>
    </row>
    <row r="72" spans="1:15">
      <c r="A72" t="s">
        <v>6</v>
      </c>
      <c r="B72" t="s">
        <v>147</v>
      </c>
      <c r="C72">
        <v>2</v>
      </c>
      <c r="D72">
        <v>1</v>
      </c>
      <c r="E72" t="s">
        <v>190</v>
      </c>
      <c r="F72" t="s">
        <v>306</v>
      </c>
      <c r="I72" t="s">
        <v>307</v>
      </c>
      <c r="J72" t="s">
        <v>15</v>
      </c>
      <c r="K72" t="s">
        <v>220</v>
      </c>
      <c r="L72" t="s">
        <v>15</v>
      </c>
      <c r="O72" t="s">
        <v>200</v>
      </c>
    </row>
    <row r="73" spans="1:15">
      <c r="A73" t="s">
        <v>174</v>
      </c>
      <c r="B73" t="s">
        <v>7</v>
      </c>
      <c r="C73">
        <v>1</v>
      </c>
      <c r="D73">
        <v>1</v>
      </c>
      <c r="E73" t="s">
        <v>207</v>
      </c>
      <c r="F73" t="s">
        <v>208</v>
      </c>
      <c r="G73" t="s">
        <v>209</v>
      </c>
      <c r="H73" t="s">
        <v>210</v>
      </c>
      <c r="J73" t="s">
        <v>15</v>
      </c>
      <c r="K73" t="s">
        <v>211</v>
      </c>
      <c r="L73" t="s">
        <v>15</v>
      </c>
      <c r="N73" t="s">
        <v>212</v>
      </c>
    </row>
    <row r="74" spans="1:15">
      <c r="A74" t="s">
        <v>174</v>
      </c>
      <c r="B74" t="s">
        <v>7</v>
      </c>
      <c r="C74">
        <v>2</v>
      </c>
      <c r="D74">
        <v>2</v>
      </c>
      <c r="E74" t="s">
        <v>190</v>
      </c>
      <c r="F74" t="s">
        <v>205</v>
      </c>
      <c r="I74" t="s">
        <v>308</v>
      </c>
      <c r="J74" t="s">
        <v>15</v>
      </c>
      <c r="L74" t="s">
        <v>15</v>
      </c>
      <c r="N74" s="2" t="s">
        <v>206</v>
      </c>
      <c r="O74" t="s">
        <v>200</v>
      </c>
    </row>
    <row r="75" spans="1:15">
      <c r="A75" t="s">
        <v>174</v>
      </c>
      <c r="B75" t="s">
        <v>7</v>
      </c>
      <c r="C75">
        <v>3</v>
      </c>
      <c r="D75">
        <v>2</v>
      </c>
      <c r="E75" t="s">
        <v>190</v>
      </c>
      <c r="F75" t="s">
        <v>224</v>
      </c>
      <c r="I75" t="s">
        <v>225</v>
      </c>
      <c r="J75" t="s">
        <v>15</v>
      </c>
      <c r="L75" t="s">
        <v>15</v>
      </c>
      <c r="O75" t="s">
        <v>200</v>
      </c>
    </row>
    <row r="76" spans="1:15">
      <c r="A76" t="s">
        <v>174</v>
      </c>
      <c r="B76" t="s">
        <v>7</v>
      </c>
      <c r="C76">
        <v>4</v>
      </c>
      <c r="D76">
        <v>2</v>
      </c>
      <c r="E76" t="s">
        <v>190</v>
      </c>
      <c r="F76" t="s">
        <v>309</v>
      </c>
      <c r="I76" t="s">
        <v>310</v>
      </c>
      <c r="J76" t="s">
        <v>15</v>
      </c>
      <c r="L76" t="s">
        <v>15</v>
      </c>
      <c r="O76" t="s">
        <v>200</v>
      </c>
    </row>
    <row r="77" spans="1:15">
      <c r="A77" t="s">
        <v>174</v>
      </c>
      <c r="B77" t="s">
        <v>7</v>
      </c>
      <c r="C77">
        <v>5</v>
      </c>
      <c r="D77">
        <v>2</v>
      </c>
      <c r="E77" t="s">
        <v>190</v>
      </c>
      <c r="F77" t="s">
        <v>311</v>
      </c>
      <c r="J77" t="s">
        <v>15</v>
      </c>
      <c r="K77" t="s">
        <v>204</v>
      </c>
      <c r="L77" t="s">
        <v>15</v>
      </c>
      <c r="O77" t="s">
        <v>200</v>
      </c>
    </row>
    <row r="78" spans="1:15">
      <c r="A78" t="s">
        <v>40</v>
      </c>
      <c r="B78" t="s">
        <v>7</v>
      </c>
      <c r="C78">
        <v>1</v>
      </c>
      <c r="D78">
        <v>1</v>
      </c>
      <c r="E78" t="s">
        <v>190</v>
      </c>
      <c r="F78" t="s">
        <v>205</v>
      </c>
      <c r="I78" t="s">
        <v>312</v>
      </c>
      <c r="J78" t="s">
        <v>15</v>
      </c>
      <c r="L78" t="s">
        <v>15</v>
      </c>
      <c r="O78" t="s">
        <v>200</v>
      </c>
    </row>
    <row r="79" spans="1:15">
      <c r="A79" t="s">
        <v>40</v>
      </c>
      <c r="B79" t="s">
        <v>7</v>
      </c>
      <c r="C79">
        <v>2</v>
      </c>
      <c r="D79">
        <v>1</v>
      </c>
      <c r="E79" t="s">
        <v>190</v>
      </c>
      <c r="F79" t="s">
        <v>313</v>
      </c>
      <c r="I79" t="s">
        <v>239</v>
      </c>
      <c r="J79" t="s">
        <v>15</v>
      </c>
      <c r="L79" t="s">
        <v>15</v>
      </c>
      <c r="O79" t="s">
        <v>200</v>
      </c>
    </row>
    <row r="80" spans="1:15">
      <c r="A80" t="s">
        <v>40</v>
      </c>
      <c r="B80" t="s">
        <v>7</v>
      </c>
      <c r="C80">
        <v>3</v>
      </c>
      <c r="D80">
        <v>1</v>
      </c>
      <c r="E80" t="s">
        <v>190</v>
      </c>
      <c r="F80" t="s">
        <v>314</v>
      </c>
      <c r="I80" t="s">
        <v>242</v>
      </c>
      <c r="J80" t="s">
        <v>15</v>
      </c>
      <c r="L80" t="s">
        <v>15</v>
      </c>
      <c r="O80" t="s">
        <v>200</v>
      </c>
    </row>
    <row r="81" spans="1:15">
      <c r="A81" t="s">
        <v>40</v>
      </c>
      <c r="B81" t="s">
        <v>7</v>
      </c>
      <c r="C81">
        <v>4</v>
      </c>
      <c r="D81">
        <v>1</v>
      </c>
      <c r="E81" t="s">
        <v>190</v>
      </c>
      <c r="F81" t="s">
        <v>315</v>
      </c>
      <c r="I81" t="s">
        <v>316</v>
      </c>
      <c r="J81" t="s">
        <v>15</v>
      </c>
      <c r="L81" t="s">
        <v>15</v>
      </c>
      <c r="O81" t="s">
        <v>200</v>
      </c>
    </row>
    <row r="82" spans="1:15">
      <c r="A82" t="s">
        <v>40</v>
      </c>
      <c r="B82" t="s">
        <v>7</v>
      </c>
      <c r="C82">
        <v>5</v>
      </c>
      <c r="D82">
        <v>1</v>
      </c>
      <c r="E82" t="s">
        <v>190</v>
      </c>
      <c r="F82" t="s">
        <v>208</v>
      </c>
      <c r="I82" t="s">
        <v>257</v>
      </c>
      <c r="J82" t="s">
        <v>15</v>
      </c>
      <c r="L82" t="s">
        <v>15</v>
      </c>
      <c r="O82" t="s">
        <v>200</v>
      </c>
    </row>
    <row r="83" spans="1:15">
      <c r="A83" t="s">
        <v>40</v>
      </c>
      <c r="B83" t="s">
        <v>7</v>
      </c>
      <c r="C83">
        <v>6</v>
      </c>
      <c r="D83">
        <v>1</v>
      </c>
      <c r="E83" t="s">
        <v>190</v>
      </c>
      <c r="F83" t="s">
        <v>317</v>
      </c>
      <c r="I83" t="s">
        <v>318</v>
      </c>
      <c r="J83" t="s">
        <v>15</v>
      </c>
      <c r="K83" t="s">
        <v>215</v>
      </c>
      <c r="L83" t="s">
        <v>15</v>
      </c>
      <c r="O83" t="s">
        <v>200</v>
      </c>
    </row>
    <row r="84" spans="1:15">
      <c r="A84" t="s">
        <v>40</v>
      </c>
      <c r="B84" t="s">
        <v>7</v>
      </c>
      <c r="C84">
        <v>7</v>
      </c>
      <c r="D84">
        <v>1</v>
      </c>
      <c r="E84" t="s">
        <v>190</v>
      </c>
      <c r="F84" t="s">
        <v>319</v>
      </c>
      <c r="I84" t="s">
        <v>318</v>
      </c>
      <c r="J84" t="s">
        <v>15</v>
      </c>
      <c r="K84" t="s">
        <v>215</v>
      </c>
      <c r="L84" t="s">
        <v>15</v>
      </c>
      <c r="O84" t="s">
        <v>200</v>
      </c>
    </row>
    <row r="85" spans="1:15">
      <c r="A85" t="s">
        <v>40</v>
      </c>
      <c r="B85" t="s">
        <v>7</v>
      </c>
      <c r="C85">
        <v>8</v>
      </c>
      <c r="D85">
        <v>1</v>
      </c>
      <c r="E85" t="s">
        <v>190</v>
      </c>
      <c r="F85" t="s">
        <v>320</v>
      </c>
      <c r="I85" t="s">
        <v>321</v>
      </c>
      <c r="J85" t="s">
        <v>15</v>
      </c>
      <c r="K85" t="s">
        <v>215</v>
      </c>
      <c r="L85" t="s">
        <v>15</v>
      </c>
      <c r="O85" t="s">
        <v>200</v>
      </c>
    </row>
    <row r="86" spans="1:15">
      <c r="A86" t="s">
        <v>40</v>
      </c>
      <c r="B86" t="s">
        <v>7</v>
      </c>
      <c r="C86">
        <v>9</v>
      </c>
      <c r="D86">
        <v>1</v>
      </c>
      <c r="E86" t="s">
        <v>190</v>
      </c>
      <c r="F86" t="s">
        <v>322</v>
      </c>
      <c r="I86" t="s">
        <v>321</v>
      </c>
      <c r="J86" t="s">
        <v>15</v>
      </c>
      <c r="K86" t="s">
        <v>215</v>
      </c>
      <c r="L86" t="s">
        <v>15</v>
      </c>
      <c r="O86" t="s">
        <v>200</v>
      </c>
    </row>
    <row r="87" spans="1:15">
      <c r="A87" t="s">
        <v>40</v>
      </c>
      <c r="B87" t="s">
        <v>7</v>
      </c>
      <c r="C87">
        <v>10</v>
      </c>
      <c r="D87">
        <v>1</v>
      </c>
      <c r="E87" t="s">
        <v>190</v>
      </c>
      <c r="F87" t="s">
        <v>323</v>
      </c>
      <c r="I87" t="s">
        <v>324</v>
      </c>
      <c r="J87" t="s">
        <v>15</v>
      </c>
      <c r="K87" t="s">
        <v>215</v>
      </c>
      <c r="L87" t="s">
        <v>15</v>
      </c>
      <c r="O87" t="s">
        <v>200</v>
      </c>
    </row>
    <row r="88" spans="1:15">
      <c r="A88" t="s">
        <v>40</v>
      </c>
      <c r="B88" t="s">
        <v>7</v>
      </c>
      <c r="C88">
        <v>11</v>
      </c>
      <c r="D88">
        <v>1</v>
      </c>
      <c r="E88" t="s">
        <v>190</v>
      </c>
      <c r="F88" t="s">
        <v>325</v>
      </c>
      <c r="I88" t="s">
        <v>326</v>
      </c>
      <c r="J88" t="s">
        <v>15</v>
      </c>
      <c r="K88" t="s">
        <v>215</v>
      </c>
      <c r="L88" t="s">
        <v>15</v>
      </c>
      <c r="O88" t="s">
        <v>200</v>
      </c>
    </row>
    <row r="89" spans="1:15">
      <c r="A89" t="s">
        <v>40</v>
      </c>
      <c r="B89" t="s">
        <v>7</v>
      </c>
      <c r="C89">
        <v>12</v>
      </c>
      <c r="D89">
        <v>1</v>
      </c>
      <c r="E89" t="s">
        <v>190</v>
      </c>
      <c r="F89" s="3" t="s">
        <v>327</v>
      </c>
      <c r="G89" s="3"/>
      <c r="H89" s="3"/>
      <c r="I89" s="3" t="s">
        <v>228</v>
      </c>
      <c r="J89" t="s">
        <v>15</v>
      </c>
      <c r="L89" t="s">
        <v>15</v>
      </c>
      <c r="O89" t="s">
        <v>200</v>
      </c>
    </row>
    <row r="90" spans="1:15">
      <c r="A90" t="s">
        <v>40</v>
      </c>
      <c r="B90" t="s">
        <v>7</v>
      </c>
      <c r="C90">
        <v>13</v>
      </c>
      <c r="D90">
        <v>1</v>
      </c>
      <c r="E90" t="s">
        <v>190</v>
      </c>
      <c r="F90" s="3" t="s">
        <v>203</v>
      </c>
      <c r="G90" s="3"/>
      <c r="H90" s="3"/>
      <c r="I90" s="3" t="s">
        <v>328</v>
      </c>
      <c r="J90" t="s">
        <v>15</v>
      </c>
      <c r="K90" t="s">
        <v>204</v>
      </c>
      <c r="L90" t="s">
        <v>15</v>
      </c>
      <c r="O90" t="s">
        <v>200</v>
      </c>
    </row>
    <row r="91" spans="1:15">
      <c r="A91" t="s">
        <v>40</v>
      </c>
      <c r="B91" t="s">
        <v>7</v>
      </c>
      <c r="C91">
        <v>14</v>
      </c>
      <c r="D91">
        <v>1</v>
      </c>
      <c r="E91" t="s">
        <v>190</v>
      </c>
      <c r="F91" t="s">
        <v>224</v>
      </c>
      <c r="I91" t="s">
        <v>225</v>
      </c>
      <c r="J91" t="s">
        <v>15</v>
      </c>
      <c r="L91" t="s">
        <v>15</v>
      </c>
      <c r="O91" t="s">
        <v>200</v>
      </c>
    </row>
    <row r="92" spans="1:15">
      <c r="A92" t="s">
        <v>40</v>
      </c>
      <c r="B92" t="s">
        <v>7</v>
      </c>
      <c r="C92">
        <v>15</v>
      </c>
      <c r="D92">
        <v>1</v>
      </c>
      <c r="E92" t="s">
        <v>190</v>
      </c>
      <c r="F92" t="s">
        <v>329</v>
      </c>
      <c r="I92" t="s">
        <v>199</v>
      </c>
      <c r="J92" t="s">
        <v>15</v>
      </c>
      <c r="L92" t="s">
        <v>15</v>
      </c>
      <c r="O92" t="s">
        <v>200</v>
      </c>
    </row>
    <row r="93" spans="1:15">
      <c r="A93" s="3" t="s">
        <v>176</v>
      </c>
      <c r="B93" t="s">
        <v>7</v>
      </c>
      <c r="C93">
        <v>1</v>
      </c>
      <c r="D93">
        <v>1</v>
      </c>
      <c r="E93" t="s">
        <v>190</v>
      </c>
      <c r="F93" s="3" t="s">
        <v>327</v>
      </c>
      <c r="G93" s="3"/>
      <c r="H93" s="3"/>
      <c r="I93" s="3" t="s">
        <v>228</v>
      </c>
      <c r="J93" t="s">
        <v>15</v>
      </c>
      <c r="L93" t="s">
        <v>15</v>
      </c>
      <c r="O93" t="s">
        <v>200</v>
      </c>
    </row>
    <row r="94" spans="1:15">
      <c r="A94" s="3" t="s">
        <v>176</v>
      </c>
      <c r="B94" t="s">
        <v>7</v>
      </c>
      <c r="C94">
        <v>2</v>
      </c>
      <c r="D94">
        <v>1</v>
      </c>
      <c r="E94" t="s">
        <v>190</v>
      </c>
      <c r="F94" s="3" t="s">
        <v>311</v>
      </c>
      <c r="G94" s="3"/>
      <c r="H94" s="3"/>
      <c r="I94" s="3" t="s">
        <v>161</v>
      </c>
      <c r="J94" t="s">
        <v>15</v>
      </c>
      <c r="K94" t="s">
        <v>204</v>
      </c>
      <c r="L94" t="s">
        <v>15</v>
      </c>
      <c r="O94" t="s">
        <v>200</v>
      </c>
    </row>
    <row r="95" spans="1:15">
      <c r="A95" s="3" t="s">
        <v>176</v>
      </c>
      <c r="B95" t="s">
        <v>7</v>
      </c>
      <c r="C95">
        <v>3</v>
      </c>
      <c r="D95">
        <v>1</v>
      </c>
      <c r="E95" t="s">
        <v>190</v>
      </c>
      <c r="F95" s="3" t="s">
        <v>234</v>
      </c>
      <c r="G95" s="3"/>
      <c r="H95" s="3"/>
      <c r="I95" s="3" t="s">
        <v>235</v>
      </c>
      <c r="J95" t="s">
        <v>15</v>
      </c>
      <c r="L95" t="s">
        <v>15</v>
      </c>
      <c r="O95" t="s">
        <v>200</v>
      </c>
    </row>
    <row r="96" spans="1:15">
      <c r="A96" s="3" t="s">
        <v>176</v>
      </c>
      <c r="B96" t="s">
        <v>7</v>
      </c>
      <c r="C96">
        <v>4</v>
      </c>
      <c r="D96">
        <v>1</v>
      </c>
      <c r="E96" t="s">
        <v>190</v>
      </c>
      <c r="F96" s="3" t="s">
        <v>205</v>
      </c>
      <c r="G96" s="3"/>
      <c r="H96" s="3"/>
      <c r="I96" s="3" t="s">
        <v>330</v>
      </c>
      <c r="J96" t="s">
        <v>15</v>
      </c>
      <c r="L96" t="s">
        <v>15</v>
      </c>
      <c r="O96" t="s">
        <v>200</v>
      </c>
    </row>
    <row r="97" spans="1:15">
      <c r="A97" s="3" t="s">
        <v>176</v>
      </c>
      <c r="B97" t="s">
        <v>7</v>
      </c>
      <c r="C97">
        <v>5</v>
      </c>
      <c r="D97">
        <v>1</v>
      </c>
      <c r="E97" t="s">
        <v>190</v>
      </c>
      <c r="F97" s="3" t="s">
        <v>331</v>
      </c>
      <c r="G97" s="3"/>
      <c r="H97" s="3"/>
      <c r="I97" s="3" t="s">
        <v>332</v>
      </c>
      <c r="J97" t="s">
        <v>15</v>
      </c>
      <c r="K97" t="s">
        <v>215</v>
      </c>
      <c r="L97" t="s">
        <v>15</v>
      </c>
      <c r="O97" t="s">
        <v>200</v>
      </c>
    </row>
    <row r="98" spans="1:15">
      <c r="A98" t="s">
        <v>46</v>
      </c>
      <c r="B98" t="s">
        <v>122</v>
      </c>
      <c r="C98">
        <v>1</v>
      </c>
      <c r="D98">
        <v>1</v>
      </c>
      <c r="E98" t="s">
        <v>190</v>
      </c>
      <c r="F98" s="3" t="s">
        <v>205</v>
      </c>
      <c r="J98" t="s">
        <v>15</v>
      </c>
      <c r="K98" t="s">
        <v>122</v>
      </c>
      <c r="L98" t="s">
        <v>15</v>
      </c>
      <c r="O98" t="s">
        <v>200</v>
      </c>
    </row>
    <row r="99" spans="1:15">
      <c r="A99" t="s">
        <v>46</v>
      </c>
      <c r="B99" t="s">
        <v>7</v>
      </c>
      <c r="C99">
        <v>1</v>
      </c>
      <c r="D99">
        <v>1</v>
      </c>
      <c r="E99" t="s">
        <v>190</v>
      </c>
      <c r="F99" t="s">
        <v>333</v>
      </c>
      <c r="I99" t="s">
        <v>174</v>
      </c>
      <c r="J99" t="s">
        <v>15</v>
      </c>
      <c r="L99" t="s">
        <v>15</v>
      </c>
      <c r="O99" t="s">
        <v>200</v>
      </c>
    </row>
    <row r="100" spans="1:15">
      <c r="A100" t="s">
        <v>46</v>
      </c>
      <c r="B100" t="s">
        <v>7</v>
      </c>
      <c r="C100">
        <v>2</v>
      </c>
      <c r="D100">
        <v>1</v>
      </c>
      <c r="E100" t="s">
        <v>190</v>
      </c>
      <c r="F100" t="s">
        <v>334</v>
      </c>
      <c r="I100" t="s">
        <v>310</v>
      </c>
      <c r="J100" t="s">
        <v>15</v>
      </c>
      <c r="L100" t="s">
        <v>15</v>
      </c>
      <c r="O100" t="s">
        <v>200</v>
      </c>
    </row>
    <row r="101" spans="1:15">
      <c r="A101" t="s">
        <v>46</v>
      </c>
      <c r="B101" t="s">
        <v>7</v>
      </c>
      <c r="C101">
        <v>3</v>
      </c>
      <c r="D101">
        <v>1</v>
      </c>
      <c r="E101" t="s">
        <v>190</v>
      </c>
      <c r="F101" t="s">
        <v>335</v>
      </c>
      <c r="I101" t="s">
        <v>336</v>
      </c>
      <c r="J101" t="s">
        <v>15</v>
      </c>
      <c r="L101" t="s">
        <v>15</v>
      </c>
      <c r="O101" t="s">
        <v>200</v>
      </c>
    </row>
    <row r="102" spans="1:15">
      <c r="A102" t="s">
        <v>46</v>
      </c>
      <c r="B102" t="s">
        <v>7</v>
      </c>
      <c r="C102">
        <v>4</v>
      </c>
      <c r="D102">
        <v>1</v>
      </c>
      <c r="E102" t="s">
        <v>299</v>
      </c>
      <c r="F102" t="s">
        <v>337</v>
      </c>
      <c r="I102" t="s">
        <v>338</v>
      </c>
      <c r="J102" t="s">
        <v>15</v>
      </c>
      <c r="K102" t="s">
        <v>339</v>
      </c>
      <c r="L102" t="s">
        <v>15</v>
      </c>
      <c r="O102" t="s">
        <v>200</v>
      </c>
    </row>
    <row r="103" spans="1:15">
      <c r="A103" t="s">
        <v>46</v>
      </c>
      <c r="B103" t="s">
        <v>7</v>
      </c>
      <c r="C103">
        <v>5</v>
      </c>
      <c r="D103">
        <v>1</v>
      </c>
      <c r="E103" t="s">
        <v>299</v>
      </c>
      <c r="F103" t="s">
        <v>340</v>
      </c>
      <c r="I103" t="s">
        <v>341</v>
      </c>
      <c r="J103" t="s">
        <v>15</v>
      </c>
      <c r="K103" t="s">
        <v>339</v>
      </c>
      <c r="L103" t="s">
        <v>15</v>
      </c>
      <c r="O103" t="s">
        <v>200</v>
      </c>
    </row>
    <row r="104" spans="1:15">
      <c r="A104" t="s">
        <v>46</v>
      </c>
      <c r="B104" t="s">
        <v>7</v>
      </c>
      <c r="C104">
        <v>6</v>
      </c>
      <c r="D104">
        <v>1</v>
      </c>
      <c r="E104" t="s">
        <v>190</v>
      </c>
      <c r="F104" t="s">
        <v>342</v>
      </c>
      <c r="I104" t="s">
        <v>343</v>
      </c>
      <c r="J104" t="s">
        <v>15</v>
      </c>
      <c r="L104" t="s">
        <v>15</v>
      </c>
      <c r="O104" t="s">
        <v>200</v>
      </c>
    </row>
    <row r="105" spans="1:15">
      <c r="A105" t="s">
        <v>46</v>
      </c>
      <c r="B105" t="s">
        <v>7</v>
      </c>
      <c r="C105">
        <v>7</v>
      </c>
      <c r="D105">
        <v>1</v>
      </c>
      <c r="E105" t="s">
        <v>190</v>
      </c>
      <c r="F105" t="s">
        <v>203</v>
      </c>
      <c r="I105" t="s">
        <v>328</v>
      </c>
      <c r="J105" t="s">
        <v>15</v>
      </c>
      <c r="K105" t="s">
        <v>204</v>
      </c>
      <c r="L105" t="s">
        <v>15</v>
      </c>
      <c r="O105" t="s">
        <v>200</v>
      </c>
    </row>
    <row r="106" spans="1:15">
      <c r="A106" t="s">
        <v>46</v>
      </c>
      <c r="B106" t="s">
        <v>7</v>
      </c>
      <c r="C106">
        <v>8</v>
      </c>
      <c r="D106">
        <v>1</v>
      </c>
      <c r="E106" t="s">
        <v>190</v>
      </c>
      <c r="F106" t="s">
        <v>256</v>
      </c>
      <c r="I106" t="s">
        <v>344</v>
      </c>
      <c r="J106" t="s">
        <v>15</v>
      </c>
      <c r="K106" t="s">
        <v>215</v>
      </c>
      <c r="L106" t="s">
        <v>15</v>
      </c>
      <c r="O106" t="s">
        <v>200</v>
      </c>
    </row>
    <row r="107" spans="1:15">
      <c r="A107" t="s">
        <v>46</v>
      </c>
      <c r="B107" t="s">
        <v>7</v>
      </c>
      <c r="C107">
        <v>9</v>
      </c>
      <c r="D107">
        <v>1</v>
      </c>
      <c r="E107" t="s">
        <v>190</v>
      </c>
      <c r="F107" t="s">
        <v>345</v>
      </c>
      <c r="I107" t="s">
        <v>346</v>
      </c>
      <c r="J107" t="s">
        <v>15</v>
      </c>
      <c r="K107" t="s">
        <v>215</v>
      </c>
      <c r="L107" t="s">
        <v>15</v>
      </c>
      <c r="O107" t="s">
        <v>200</v>
      </c>
    </row>
    <row r="108" spans="1:15">
      <c r="A108" t="s">
        <v>46</v>
      </c>
      <c r="B108" t="s">
        <v>7</v>
      </c>
      <c r="C108">
        <v>10</v>
      </c>
      <c r="D108">
        <v>1</v>
      </c>
      <c r="E108" t="s">
        <v>190</v>
      </c>
      <c r="F108" t="s">
        <v>347</v>
      </c>
      <c r="I108" t="s">
        <v>348</v>
      </c>
      <c r="J108" t="s">
        <v>10</v>
      </c>
      <c r="K108" t="s">
        <v>215</v>
      </c>
      <c r="L108" t="s">
        <v>15</v>
      </c>
      <c r="O108" t="s">
        <v>200</v>
      </c>
    </row>
    <row r="109" spans="1:15">
      <c r="A109" t="s">
        <v>46</v>
      </c>
      <c r="B109" t="s">
        <v>7</v>
      </c>
      <c r="C109">
        <v>11</v>
      </c>
      <c r="D109">
        <v>1</v>
      </c>
      <c r="E109" t="s">
        <v>190</v>
      </c>
      <c r="F109" t="s">
        <v>224</v>
      </c>
      <c r="I109" t="s">
        <v>349</v>
      </c>
      <c r="J109" t="s">
        <v>15</v>
      </c>
      <c r="K109" t="s">
        <v>226</v>
      </c>
      <c r="L109" t="s">
        <v>15</v>
      </c>
      <c r="O109" t="s">
        <v>200</v>
      </c>
    </row>
    <row r="110" spans="1:15">
      <c r="A110" t="s">
        <v>46</v>
      </c>
      <c r="B110" t="s">
        <v>7</v>
      </c>
      <c r="C110">
        <v>12</v>
      </c>
      <c r="D110">
        <v>1</v>
      </c>
      <c r="E110" t="s">
        <v>207</v>
      </c>
      <c r="H110" t="s">
        <v>210</v>
      </c>
      <c r="I110" t="s">
        <v>350</v>
      </c>
      <c r="J110" t="s">
        <v>15</v>
      </c>
      <c r="K110" t="s">
        <v>351</v>
      </c>
      <c r="L110" t="s">
        <v>15</v>
      </c>
      <c r="O110" t="s">
        <v>200</v>
      </c>
    </row>
    <row r="111" spans="1:15">
      <c r="A111" t="s">
        <v>182</v>
      </c>
      <c r="B111" t="s">
        <v>183</v>
      </c>
      <c r="C111">
        <v>1</v>
      </c>
      <c r="D111">
        <v>1</v>
      </c>
      <c r="E111" t="s">
        <v>190</v>
      </c>
      <c r="F111" s="3" t="s">
        <v>205</v>
      </c>
      <c r="I111" t="s">
        <v>312</v>
      </c>
      <c r="J111" t="s">
        <v>15</v>
      </c>
      <c r="L111" t="s">
        <v>15</v>
      </c>
      <c r="O111" t="s">
        <v>200</v>
      </c>
    </row>
    <row r="112" spans="1:15">
      <c r="A112" t="s">
        <v>182</v>
      </c>
      <c r="B112" t="s">
        <v>183</v>
      </c>
      <c r="C112">
        <v>2</v>
      </c>
      <c r="D112">
        <v>1</v>
      </c>
      <c r="E112" t="s">
        <v>190</v>
      </c>
      <c r="F112" t="s">
        <v>333</v>
      </c>
      <c r="I112" t="s">
        <v>174</v>
      </c>
      <c r="J112" t="s">
        <v>15</v>
      </c>
      <c r="L112" t="s">
        <v>15</v>
      </c>
      <c r="O112" t="s">
        <v>200</v>
      </c>
    </row>
    <row r="113" spans="1:16">
      <c r="A113" t="s">
        <v>182</v>
      </c>
      <c r="B113" t="s">
        <v>183</v>
      </c>
      <c r="C113">
        <v>3</v>
      </c>
      <c r="D113">
        <v>1</v>
      </c>
      <c r="E113" t="s">
        <v>190</v>
      </c>
      <c r="F113" t="s">
        <v>334</v>
      </c>
      <c r="I113" t="s">
        <v>310</v>
      </c>
      <c r="J113" t="s">
        <v>15</v>
      </c>
      <c r="L113" t="s">
        <v>15</v>
      </c>
      <c r="O113" t="s">
        <v>200</v>
      </c>
    </row>
    <row r="114" spans="1:16">
      <c r="A114" t="s">
        <v>182</v>
      </c>
      <c r="B114" t="s">
        <v>183</v>
      </c>
      <c r="C114">
        <v>4</v>
      </c>
      <c r="D114">
        <v>1</v>
      </c>
      <c r="E114" t="s">
        <v>190</v>
      </c>
      <c r="F114" t="s">
        <v>335</v>
      </c>
      <c r="I114" t="s">
        <v>336</v>
      </c>
      <c r="J114" t="s">
        <v>15</v>
      </c>
      <c r="L114" t="s">
        <v>15</v>
      </c>
      <c r="O114" t="s">
        <v>200</v>
      </c>
    </row>
    <row r="115" spans="1:16">
      <c r="A115" t="s">
        <v>182</v>
      </c>
      <c r="B115" t="s">
        <v>183</v>
      </c>
      <c r="C115">
        <v>5</v>
      </c>
      <c r="D115">
        <v>1</v>
      </c>
      <c r="E115" t="s">
        <v>299</v>
      </c>
      <c r="F115" t="s">
        <v>337</v>
      </c>
      <c r="I115" t="s">
        <v>338</v>
      </c>
      <c r="J115" t="s">
        <v>15</v>
      </c>
      <c r="K115" t="s">
        <v>339</v>
      </c>
      <c r="L115" t="s">
        <v>15</v>
      </c>
      <c r="O115" t="s">
        <v>200</v>
      </c>
    </row>
    <row r="116" spans="1:16">
      <c r="A116" t="s">
        <v>182</v>
      </c>
      <c r="B116" t="s">
        <v>183</v>
      </c>
      <c r="C116">
        <v>6</v>
      </c>
      <c r="D116">
        <v>1</v>
      </c>
      <c r="E116" t="s">
        <v>190</v>
      </c>
      <c r="F116" t="s">
        <v>342</v>
      </c>
      <c r="I116" t="s">
        <v>343</v>
      </c>
      <c r="J116" t="s">
        <v>15</v>
      </c>
      <c r="K116" t="s">
        <v>352</v>
      </c>
      <c r="L116" t="s">
        <v>15</v>
      </c>
      <c r="O116" t="s">
        <v>200</v>
      </c>
    </row>
    <row r="117" spans="1:16">
      <c r="A117" t="s">
        <v>182</v>
      </c>
      <c r="B117" t="s">
        <v>7</v>
      </c>
      <c r="C117">
        <v>7</v>
      </c>
      <c r="D117">
        <v>1</v>
      </c>
      <c r="E117" t="s">
        <v>207</v>
      </c>
      <c r="H117" t="s">
        <v>210</v>
      </c>
      <c r="I117" t="s">
        <v>350</v>
      </c>
      <c r="J117" t="s">
        <v>15</v>
      </c>
      <c r="K117" t="s">
        <v>351</v>
      </c>
      <c r="L117" t="s">
        <v>15</v>
      </c>
      <c r="O117" t="s">
        <v>200</v>
      </c>
    </row>
    <row r="118" spans="1:16">
      <c r="A118" t="s">
        <v>182</v>
      </c>
      <c r="B118" t="s">
        <v>7</v>
      </c>
      <c r="C118">
        <v>1</v>
      </c>
      <c r="D118">
        <v>1</v>
      </c>
      <c r="E118" t="s">
        <v>190</v>
      </c>
      <c r="F118" t="s">
        <v>224</v>
      </c>
      <c r="I118" t="s">
        <v>349</v>
      </c>
      <c r="J118" t="s">
        <v>15</v>
      </c>
      <c r="K118" t="s">
        <v>226</v>
      </c>
      <c r="L118" t="s">
        <v>15</v>
      </c>
      <c r="O118" t="s">
        <v>200</v>
      </c>
    </row>
    <row r="119" spans="1:16">
      <c r="A119" t="s">
        <v>182</v>
      </c>
      <c r="B119" t="s">
        <v>7</v>
      </c>
      <c r="C119">
        <v>2</v>
      </c>
      <c r="D119">
        <v>1</v>
      </c>
      <c r="E119" t="s">
        <v>190</v>
      </c>
      <c r="F119" t="s">
        <v>353</v>
      </c>
      <c r="I119" t="s">
        <v>354</v>
      </c>
      <c r="J119" t="s">
        <v>15</v>
      </c>
      <c r="K119" t="s">
        <v>355</v>
      </c>
      <c r="L119" t="s">
        <v>15</v>
      </c>
      <c r="O119" t="s">
        <v>200</v>
      </c>
    </row>
    <row r="120" spans="1:16">
      <c r="A120" t="s">
        <v>182</v>
      </c>
      <c r="B120" t="s">
        <v>7</v>
      </c>
      <c r="C120">
        <v>3</v>
      </c>
      <c r="D120">
        <v>1</v>
      </c>
      <c r="E120" t="s">
        <v>190</v>
      </c>
      <c r="F120" t="s">
        <v>203</v>
      </c>
      <c r="I120" t="s">
        <v>328</v>
      </c>
      <c r="J120" t="s">
        <v>15</v>
      </c>
      <c r="L120" t="s">
        <v>15</v>
      </c>
      <c r="O120" t="s">
        <v>200</v>
      </c>
    </row>
    <row r="121" spans="1:16">
      <c r="A121" t="s">
        <v>182</v>
      </c>
      <c r="B121" t="s">
        <v>185</v>
      </c>
      <c r="C121">
        <v>1</v>
      </c>
      <c r="D121">
        <v>1</v>
      </c>
      <c r="E121" t="s">
        <v>190</v>
      </c>
      <c r="F121" t="s">
        <v>256</v>
      </c>
      <c r="I121" t="s">
        <v>344</v>
      </c>
      <c r="J121" t="s">
        <v>15</v>
      </c>
      <c r="K121" t="s">
        <v>215</v>
      </c>
      <c r="L121" t="s">
        <v>15</v>
      </c>
      <c r="O121" t="s">
        <v>200</v>
      </c>
    </row>
    <row r="122" spans="1:16">
      <c r="A122" t="s">
        <v>182</v>
      </c>
      <c r="B122" t="s">
        <v>185</v>
      </c>
      <c r="C122">
        <v>2</v>
      </c>
      <c r="D122">
        <v>1</v>
      </c>
      <c r="E122" t="s">
        <v>190</v>
      </c>
      <c r="F122" t="s">
        <v>345</v>
      </c>
      <c r="I122" t="s">
        <v>346</v>
      </c>
      <c r="J122" t="s">
        <v>15</v>
      </c>
      <c r="K122" t="s">
        <v>215</v>
      </c>
      <c r="L122" t="s">
        <v>15</v>
      </c>
      <c r="O122" t="s">
        <v>200</v>
      </c>
    </row>
    <row r="123" spans="1:16">
      <c r="A123" t="s">
        <v>182</v>
      </c>
      <c r="B123" t="s">
        <v>185</v>
      </c>
      <c r="C123">
        <v>3</v>
      </c>
      <c r="D123">
        <v>1</v>
      </c>
      <c r="E123" t="s">
        <v>299</v>
      </c>
      <c r="F123" t="s">
        <v>356</v>
      </c>
      <c r="I123" t="s">
        <v>357</v>
      </c>
      <c r="J123" t="s">
        <v>10</v>
      </c>
      <c r="K123" t="s">
        <v>339</v>
      </c>
      <c r="L123" t="s">
        <v>15</v>
      </c>
      <c r="N123" t="s">
        <v>358</v>
      </c>
      <c r="O123" t="s">
        <v>200</v>
      </c>
      <c r="P123" t="s">
        <v>359</v>
      </c>
    </row>
    <row r="124" spans="1:16">
      <c r="A124" t="s">
        <v>181</v>
      </c>
      <c r="B124" t="s">
        <v>7</v>
      </c>
      <c r="C124">
        <v>1</v>
      </c>
      <c r="D124">
        <v>1</v>
      </c>
      <c r="E124" t="s">
        <v>190</v>
      </c>
      <c r="F124" s="3" t="s">
        <v>205</v>
      </c>
      <c r="I124" t="s">
        <v>312</v>
      </c>
      <c r="J124" t="s">
        <v>15</v>
      </c>
      <c r="L124" t="s">
        <v>15</v>
      </c>
      <c r="O124" t="s">
        <v>200</v>
      </c>
    </row>
    <row r="125" spans="1:16">
      <c r="A125" t="s">
        <v>181</v>
      </c>
      <c r="B125" t="s">
        <v>7</v>
      </c>
      <c r="C125">
        <v>2</v>
      </c>
      <c r="D125">
        <v>1</v>
      </c>
      <c r="E125" t="s">
        <v>190</v>
      </c>
      <c r="F125" t="s">
        <v>333</v>
      </c>
      <c r="I125" t="s">
        <v>174</v>
      </c>
      <c r="J125" t="s">
        <v>15</v>
      </c>
      <c r="L125" t="s">
        <v>15</v>
      </c>
      <c r="O125" t="s">
        <v>200</v>
      </c>
    </row>
    <row r="126" spans="1:16">
      <c r="A126" t="s">
        <v>181</v>
      </c>
      <c r="B126" t="s">
        <v>7</v>
      </c>
      <c r="C126">
        <v>3</v>
      </c>
      <c r="D126">
        <v>1</v>
      </c>
      <c r="E126" t="s">
        <v>190</v>
      </c>
      <c r="F126" t="s">
        <v>334</v>
      </c>
      <c r="I126" t="s">
        <v>310</v>
      </c>
      <c r="J126" t="s">
        <v>15</v>
      </c>
      <c r="L126" t="s">
        <v>15</v>
      </c>
      <c r="O126" t="s">
        <v>200</v>
      </c>
    </row>
    <row r="127" spans="1:16">
      <c r="A127" t="s">
        <v>181</v>
      </c>
      <c r="B127" t="s">
        <v>7</v>
      </c>
      <c r="C127">
        <v>4</v>
      </c>
      <c r="D127">
        <v>1</v>
      </c>
      <c r="E127" t="s">
        <v>190</v>
      </c>
      <c r="F127" t="s">
        <v>335</v>
      </c>
      <c r="I127" t="s">
        <v>336</v>
      </c>
      <c r="J127" t="s">
        <v>15</v>
      </c>
      <c r="L127" t="s">
        <v>15</v>
      </c>
      <c r="O127" t="s">
        <v>200</v>
      </c>
    </row>
    <row r="128" spans="1:16">
      <c r="A128" t="s">
        <v>181</v>
      </c>
      <c r="B128" t="s">
        <v>7</v>
      </c>
      <c r="C128">
        <v>5</v>
      </c>
      <c r="D128">
        <v>1</v>
      </c>
      <c r="E128" t="s">
        <v>299</v>
      </c>
      <c r="F128" t="s">
        <v>337</v>
      </c>
      <c r="I128" t="s">
        <v>338</v>
      </c>
      <c r="J128" t="s">
        <v>15</v>
      </c>
      <c r="K128" t="s">
        <v>339</v>
      </c>
      <c r="L128" t="s">
        <v>15</v>
      </c>
      <c r="O128" t="s">
        <v>200</v>
      </c>
    </row>
    <row r="129" spans="1:15">
      <c r="A129" t="s">
        <v>181</v>
      </c>
      <c r="B129" t="s">
        <v>7</v>
      </c>
      <c r="C129">
        <v>6</v>
      </c>
      <c r="D129">
        <v>1</v>
      </c>
      <c r="E129" t="s">
        <v>190</v>
      </c>
      <c r="F129" t="s">
        <v>360</v>
      </c>
      <c r="I129" t="s">
        <v>343</v>
      </c>
      <c r="J129" t="s">
        <v>15</v>
      </c>
      <c r="L129" t="s">
        <v>15</v>
      </c>
      <c r="O129" t="s">
        <v>200</v>
      </c>
    </row>
    <row r="130" spans="1:15">
      <c r="A130" t="s">
        <v>181</v>
      </c>
      <c r="B130" t="s">
        <v>7</v>
      </c>
      <c r="C130">
        <v>7</v>
      </c>
      <c r="D130">
        <v>1</v>
      </c>
      <c r="E130" t="s">
        <v>190</v>
      </c>
      <c r="F130" t="s">
        <v>203</v>
      </c>
      <c r="I130" t="s">
        <v>328</v>
      </c>
      <c r="J130" t="s">
        <v>15</v>
      </c>
      <c r="K130" t="s">
        <v>204</v>
      </c>
      <c r="L130" t="s">
        <v>15</v>
      </c>
      <c r="O130" t="s">
        <v>200</v>
      </c>
    </row>
    <row r="131" spans="1:15">
      <c r="A131" t="s">
        <v>181</v>
      </c>
      <c r="B131" t="s">
        <v>7</v>
      </c>
      <c r="C131">
        <v>8</v>
      </c>
      <c r="D131">
        <v>1</v>
      </c>
      <c r="E131" t="s">
        <v>190</v>
      </c>
      <c r="F131" t="s">
        <v>256</v>
      </c>
      <c r="I131" t="s">
        <v>344</v>
      </c>
      <c r="J131" t="s">
        <v>15</v>
      </c>
      <c r="K131" t="s">
        <v>215</v>
      </c>
      <c r="L131" t="s">
        <v>15</v>
      </c>
      <c r="O131" t="s">
        <v>200</v>
      </c>
    </row>
    <row r="132" spans="1:15">
      <c r="A132" t="s">
        <v>181</v>
      </c>
      <c r="B132" t="s">
        <v>7</v>
      </c>
      <c r="C132">
        <v>9</v>
      </c>
      <c r="D132">
        <v>1</v>
      </c>
      <c r="E132" t="s">
        <v>190</v>
      </c>
      <c r="F132" t="s">
        <v>345</v>
      </c>
      <c r="I132" t="s">
        <v>346</v>
      </c>
      <c r="J132" t="s">
        <v>15</v>
      </c>
      <c r="K132" t="s">
        <v>215</v>
      </c>
      <c r="L132" t="s">
        <v>15</v>
      </c>
      <c r="O132" t="s">
        <v>200</v>
      </c>
    </row>
    <row r="133" spans="1:15">
      <c r="A133" t="s">
        <v>181</v>
      </c>
      <c r="B133" t="s">
        <v>7</v>
      </c>
      <c r="C133">
        <v>10</v>
      </c>
      <c r="D133">
        <v>1</v>
      </c>
      <c r="E133" t="s">
        <v>190</v>
      </c>
      <c r="F133" t="s">
        <v>224</v>
      </c>
      <c r="I133" t="s">
        <v>349</v>
      </c>
      <c r="J133" t="s">
        <v>15</v>
      </c>
      <c r="L133" t="s">
        <v>15</v>
      </c>
      <c r="O133" t="s">
        <v>200</v>
      </c>
    </row>
    <row r="134" spans="1:15">
      <c r="A134" t="s">
        <v>181</v>
      </c>
      <c r="B134" t="s">
        <v>7</v>
      </c>
      <c r="C134">
        <v>11</v>
      </c>
      <c r="D134">
        <v>1</v>
      </c>
      <c r="E134" t="s">
        <v>207</v>
      </c>
      <c r="H134" t="s">
        <v>210</v>
      </c>
      <c r="I134" t="s">
        <v>350</v>
      </c>
      <c r="J134" t="s">
        <v>15</v>
      </c>
      <c r="K134" t="s">
        <v>351</v>
      </c>
      <c r="L134" t="s">
        <v>15</v>
      </c>
      <c r="O134" t="s">
        <v>200</v>
      </c>
    </row>
  </sheetData>
  <sheetProtection selectLockedCells="1" selectUnlockedCells="1"/>
  <autoFilter ref="A1:P134" xr:uid="{00000000-0009-0000-0000-000003000000}"/>
  <pageMargins left="0.75" right="0.75" top="1" bottom="1" header="0.51180555555555551" footer="0.51180555555555551"/>
  <pageSetup paperSize="9" firstPageNumber="0" pageOrder="overThenDown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2"/>
  <sheetViews>
    <sheetView zoomScale="120" zoomScaleNormal="120" workbookViewId="0">
      <pane ySplit="1" topLeftCell="A2" activePane="bottomLeft" state="frozen"/>
      <selection pane="bottomLeft"/>
    </sheetView>
  </sheetViews>
  <sheetFormatPr defaultColWidth="8.42578125" defaultRowHeight="12.75"/>
  <cols>
    <col min="1" max="1" width="15.5703125" customWidth="1"/>
    <col min="2" max="2" width="23.42578125" customWidth="1"/>
    <col min="3" max="3" width="12.42578125" customWidth="1"/>
    <col min="4" max="4" width="25.7109375" customWidth="1"/>
    <col min="5" max="8" width="12.42578125" customWidth="1"/>
    <col min="9" max="9" width="19.7109375" style="3" customWidth="1"/>
    <col min="10" max="10" width="16.140625" customWidth="1"/>
  </cols>
  <sheetData>
    <row r="1" spans="1:10" s="1" customFormat="1" ht="15">
      <c r="A1" s="1" t="s">
        <v>0</v>
      </c>
      <c r="B1" s="1" t="s">
        <v>361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2</v>
      </c>
      <c r="H1" s="1" t="s">
        <v>194</v>
      </c>
      <c r="I1" s="6" t="s">
        <v>196</v>
      </c>
      <c r="J1" s="4" t="s">
        <v>197</v>
      </c>
    </row>
    <row r="2" spans="1:10">
      <c r="A2" t="s">
        <v>6</v>
      </c>
      <c r="B2" t="s">
        <v>274</v>
      </c>
      <c r="C2" t="s">
        <v>190</v>
      </c>
      <c r="D2" t="s">
        <v>274</v>
      </c>
      <c r="G2" t="s">
        <v>312</v>
      </c>
      <c r="H2" t="s">
        <v>362</v>
      </c>
      <c r="I2" s="3" t="s">
        <v>363</v>
      </c>
    </row>
    <row r="3" spans="1:10">
      <c r="A3" t="s">
        <v>6</v>
      </c>
      <c r="B3" t="s">
        <v>274</v>
      </c>
      <c r="C3" t="s">
        <v>190</v>
      </c>
      <c r="D3" t="s">
        <v>364</v>
      </c>
      <c r="G3" t="s">
        <v>365</v>
      </c>
      <c r="H3" t="s">
        <v>220</v>
      </c>
      <c r="I3" s="3" t="s">
        <v>363</v>
      </c>
    </row>
    <row r="4" spans="1:10">
      <c r="A4" t="s">
        <v>6</v>
      </c>
      <c r="B4" t="s">
        <v>274</v>
      </c>
      <c r="C4" t="s">
        <v>190</v>
      </c>
      <c r="D4" t="s">
        <v>366</v>
      </c>
      <c r="G4" t="s">
        <v>367</v>
      </c>
      <c r="H4" t="s">
        <v>220</v>
      </c>
      <c r="I4" s="3" t="s">
        <v>363</v>
      </c>
    </row>
    <row r="5" spans="1:10">
      <c r="A5" t="s">
        <v>6</v>
      </c>
      <c r="B5" t="s">
        <v>300</v>
      </c>
      <c r="C5" t="s">
        <v>190</v>
      </c>
      <c r="D5" t="s">
        <v>368</v>
      </c>
      <c r="G5" t="s">
        <v>369</v>
      </c>
      <c r="H5" t="s">
        <v>362</v>
      </c>
      <c r="I5" s="3" t="s">
        <v>363</v>
      </c>
    </row>
    <row r="6" spans="1:10">
      <c r="A6" t="s">
        <v>6</v>
      </c>
      <c r="B6" t="s">
        <v>300</v>
      </c>
      <c r="C6" t="s">
        <v>190</v>
      </c>
      <c r="D6" t="s">
        <v>300</v>
      </c>
      <c r="G6" t="s">
        <v>370</v>
      </c>
      <c r="H6" t="s">
        <v>215</v>
      </c>
      <c r="I6" s="3" t="s">
        <v>363</v>
      </c>
    </row>
    <row r="7" spans="1:10">
      <c r="A7" t="s">
        <v>6</v>
      </c>
      <c r="B7" t="s">
        <v>300</v>
      </c>
      <c r="C7" t="s">
        <v>190</v>
      </c>
      <c r="D7" t="s">
        <v>371</v>
      </c>
      <c r="G7" t="s">
        <v>365</v>
      </c>
      <c r="H7" t="s">
        <v>220</v>
      </c>
      <c r="I7" s="3" t="s">
        <v>363</v>
      </c>
    </row>
    <row r="8" spans="1:10">
      <c r="A8" t="s">
        <v>6</v>
      </c>
      <c r="B8" t="s">
        <v>300</v>
      </c>
      <c r="C8" t="s">
        <v>190</v>
      </c>
      <c r="D8" t="s">
        <v>372</v>
      </c>
      <c r="G8" t="s">
        <v>367</v>
      </c>
      <c r="H8" t="s">
        <v>220</v>
      </c>
      <c r="I8" s="3" t="s">
        <v>363</v>
      </c>
    </row>
    <row r="9" spans="1:10">
      <c r="A9" t="s">
        <v>6</v>
      </c>
      <c r="B9" t="s">
        <v>302</v>
      </c>
      <c r="C9" t="s">
        <v>190</v>
      </c>
      <c r="D9" t="s">
        <v>373</v>
      </c>
      <c r="G9" t="s">
        <v>369</v>
      </c>
      <c r="H9" t="s">
        <v>362</v>
      </c>
      <c r="I9" s="3" t="s">
        <v>363</v>
      </c>
    </row>
    <row r="10" spans="1:10">
      <c r="A10" t="s">
        <v>6</v>
      </c>
      <c r="B10" t="s">
        <v>302</v>
      </c>
      <c r="C10" t="s">
        <v>190</v>
      </c>
      <c r="D10" t="s">
        <v>302</v>
      </c>
      <c r="G10" t="s">
        <v>370</v>
      </c>
      <c r="H10" t="s">
        <v>215</v>
      </c>
      <c r="I10" s="3" t="s">
        <v>363</v>
      </c>
    </row>
    <row r="11" spans="1:10">
      <c r="A11" t="s">
        <v>6</v>
      </c>
      <c r="B11" t="s">
        <v>302</v>
      </c>
      <c r="C11" t="s">
        <v>190</v>
      </c>
      <c r="D11" t="s">
        <v>374</v>
      </c>
      <c r="G11" t="s">
        <v>365</v>
      </c>
      <c r="H11" t="s">
        <v>220</v>
      </c>
      <c r="I11" s="3" t="s">
        <v>363</v>
      </c>
    </row>
    <row r="12" spans="1:10">
      <c r="A12" t="s">
        <v>6</v>
      </c>
      <c r="B12" t="s">
        <v>302</v>
      </c>
      <c r="C12" t="s">
        <v>190</v>
      </c>
      <c r="D12" t="s">
        <v>375</v>
      </c>
      <c r="G12" t="s">
        <v>367</v>
      </c>
      <c r="H12" t="s">
        <v>220</v>
      </c>
      <c r="I12" s="3" t="s">
        <v>363</v>
      </c>
    </row>
    <row r="13" spans="1:10">
      <c r="A13" t="s">
        <v>46</v>
      </c>
      <c r="B13" t="s">
        <v>337</v>
      </c>
      <c r="C13" t="s">
        <v>190</v>
      </c>
      <c r="D13" t="s">
        <v>337</v>
      </c>
      <c r="G13" t="s">
        <v>376</v>
      </c>
      <c r="H13" t="s">
        <v>215</v>
      </c>
      <c r="I13" s="3" t="s">
        <v>363</v>
      </c>
    </row>
    <row r="14" spans="1:10">
      <c r="A14" t="s">
        <v>46</v>
      </c>
      <c r="B14" t="s">
        <v>337</v>
      </c>
      <c r="C14" t="s">
        <v>190</v>
      </c>
      <c r="D14" t="s">
        <v>377</v>
      </c>
      <c r="G14" t="s">
        <v>152</v>
      </c>
      <c r="H14" t="s">
        <v>215</v>
      </c>
      <c r="I14" s="3" t="s">
        <v>363</v>
      </c>
    </row>
    <row r="15" spans="1:10">
      <c r="A15" t="s">
        <v>46</v>
      </c>
      <c r="B15" t="s">
        <v>340</v>
      </c>
      <c r="C15" t="s">
        <v>190</v>
      </c>
      <c r="D15" t="s">
        <v>340</v>
      </c>
      <c r="G15" t="s">
        <v>378</v>
      </c>
      <c r="H15" t="s">
        <v>215</v>
      </c>
      <c r="I15" s="3" t="s">
        <v>363</v>
      </c>
    </row>
    <row r="16" spans="1:10">
      <c r="A16" t="s">
        <v>46</v>
      </c>
      <c r="B16" t="s">
        <v>340</v>
      </c>
      <c r="C16" t="s">
        <v>190</v>
      </c>
      <c r="D16" t="s">
        <v>379</v>
      </c>
      <c r="G16" t="s">
        <v>152</v>
      </c>
      <c r="H16" t="s">
        <v>215</v>
      </c>
      <c r="I16" s="3" t="s">
        <v>363</v>
      </c>
    </row>
    <row r="17" spans="1:10">
      <c r="A17" t="s">
        <v>182</v>
      </c>
      <c r="B17" t="s">
        <v>337</v>
      </c>
      <c r="C17" t="s">
        <v>190</v>
      </c>
      <c r="D17" t="s">
        <v>337</v>
      </c>
      <c r="G17" t="s">
        <v>380</v>
      </c>
      <c r="H17" t="s">
        <v>215</v>
      </c>
      <c r="I17" s="3" t="s">
        <v>363</v>
      </c>
    </row>
    <row r="18" spans="1:10">
      <c r="A18" t="s">
        <v>182</v>
      </c>
      <c r="B18" t="s">
        <v>337</v>
      </c>
      <c r="C18" t="s">
        <v>190</v>
      </c>
      <c r="D18" t="s">
        <v>377</v>
      </c>
      <c r="G18" t="s">
        <v>152</v>
      </c>
      <c r="H18" t="s">
        <v>215</v>
      </c>
      <c r="I18" s="3" t="s">
        <v>363</v>
      </c>
    </row>
    <row r="19" spans="1:10">
      <c r="A19" t="s">
        <v>182</v>
      </c>
      <c r="B19" t="s">
        <v>356</v>
      </c>
      <c r="C19" t="s">
        <v>190</v>
      </c>
      <c r="D19" t="s">
        <v>356</v>
      </c>
      <c r="H19" t="s">
        <v>215</v>
      </c>
      <c r="I19" s="3" t="s">
        <v>363</v>
      </c>
    </row>
    <row r="20" spans="1:10">
      <c r="A20" t="s">
        <v>182</v>
      </c>
      <c r="B20" t="s">
        <v>356</v>
      </c>
      <c r="C20" t="s">
        <v>190</v>
      </c>
      <c r="D20" t="s">
        <v>381</v>
      </c>
      <c r="H20" t="s">
        <v>352</v>
      </c>
      <c r="I20" s="3" t="s">
        <v>363</v>
      </c>
      <c r="J20" t="s">
        <v>382</v>
      </c>
    </row>
    <row r="21" spans="1:10">
      <c r="A21" t="s">
        <v>181</v>
      </c>
      <c r="B21" t="s">
        <v>337</v>
      </c>
      <c r="C21" t="s">
        <v>190</v>
      </c>
      <c r="D21" t="s">
        <v>337</v>
      </c>
      <c r="G21" t="s">
        <v>383</v>
      </c>
      <c r="H21" t="s">
        <v>215</v>
      </c>
      <c r="I21" s="3" t="s">
        <v>363</v>
      </c>
    </row>
    <row r="22" spans="1:10">
      <c r="A22" t="s">
        <v>181</v>
      </c>
      <c r="B22" t="s">
        <v>337</v>
      </c>
      <c r="C22" t="s">
        <v>190</v>
      </c>
      <c r="D22" t="s">
        <v>377</v>
      </c>
      <c r="G22" t="s">
        <v>152</v>
      </c>
      <c r="H22" t="s">
        <v>215</v>
      </c>
      <c r="I22" s="3" t="s">
        <v>363</v>
      </c>
    </row>
  </sheetData>
  <sheetProtection selectLockedCells="1" selectUnlockedCells="1"/>
  <pageMargins left="0.75" right="0.75" top="1" bottom="1" header="0.51180555555555551" footer="0.51180555555555551"/>
  <pageSetup paperSize="9" firstPageNumber="0" pageOrder="overThenDown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8"/>
  <sheetViews>
    <sheetView zoomScale="120" zoomScaleNormal="120" workbookViewId="0">
      <pane ySplit="1" topLeftCell="A2" activePane="bottomLeft" state="frozen"/>
      <selection pane="bottomLeft"/>
    </sheetView>
  </sheetViews>
  <sheetFormatPr defaultColWidth="8.42578125" defaultRowHeight="12.75"/>
  <cols>
    <col min="1" max="1" width="15.5703125" customWidth="1"/>
    <col min="2" max="2" width="18.42578125" customWidth="1"/>
    <col min="3" max="3" width="49" style="2" customWidth="1"/>
    <col min="4" max="4" width="12.42578125" customWidth="1"/>
    <col min="5" max="5" width="21.42578125" customWidth="1"/>
    <col min="6" max="9" width="12.42578125" customWidth="1"/>
    <col min="10" max="10" width="13.85546875" customWidth="1"/>
    <col min="11" max="11" width="19.7109375" customWidth="1"/>
    <col min="12" max="12" width="14.42578125" customWidth="1"/>
  </cols>
  <sheetData>
    <row r="1" spans="1:12" s="1" customFormat="1" ht="15">
      <c r="A1" s="1" t="s">
        <v>0</v>
      </c>
      <c r="B1" s="1" t="s">
        <v>187</v>
      </c>
      <c r="C1" s="7" t="s">
        <v>384</v>
      </c>
      <c r="K1" s="4"/>
      <c r="L1" s="4"/>
    </row>
    <row r="2" spans="1:12">
      <c r="A2" t="s">
        <v>46</v>
      </c>
      <c r="B2" t="s">
        <v>143</v>
      </c>
      <c r="C2" s="2" t="s">
        <v>385</v>
      </c>
    </row>
    <row r="3" spans="1:12">
      <c r="A3" t="s">
        <v>46</v>
      </c>
      <c r="B3" t="s">
        <v>178</v>
      </c>
      <c r="C3" s="2" t="s">
        <v>386</v>
      </c>
    </row>
    <row r="4" spans="1:12" ht="25.5">
      <c r="A4" t="s">
        <v>46</v>
      </c>
      <c r="B4" t="s">
        <v>145</v>
      </c>
      <c r="C4" s="2" t="s">
        <v>387</v>
      </c>
    </row>
    <row r="5" spans="1:12">
      <c r="A5" t="s">
        <v>181</v>
      </c>
      <c r="B5" t="s">
        <v>143</v>
      </c>
      <c r="C5" s="2" t="s">
        <v>385</v>
      </c>
    </row>
    <row r="6" spans="1:12">
      <c r="A6" t="s">
        <v>181</v>
      </c>
      <c r="B6" t="s">
        <v>178</v>
      </c>
      <c r="C6" s="2" t="s">
        <v>386</v>
      </c>
    </row>
    <row r="7" spans="1:12">
      <c r="A7" t="s">
        <v>181</v>
      </c>
      <c r="B7" t="s">
        <v>145</v>
      </c>
      <c r="C7" s="2" t="s">
        <v>388</v>
      </c>
    </row>
    <row r="8" spans="1:12">
      <c r="A8" t="s">
        <v>182</v>
      </c>
      <c r="B8" t="s">
        <v>143</v>
      </c>
      <c r="C8" s="2" t="s">
        <v>385</v>
      </c>
    </row>
    <row r="9" spans="1:12">
      <c r="A9" t="s">
        <v>182</v>
      </c>
      <c r="B9" t="s">
        <v>178</v>
      </c>
      <c r="C9" s="2" t="s">
        <v>386</v>
      </c>
    </row>
    <row r="10" spans="1:12">
      <c r="A10" t="s">
        <v>182</v>
      </c>
      <c r="B10" t="s">
        <v>145</v>
      </c>
      <c r="C10" s="2" t="s">
        <v>388</v>
      </c>
    </row>
    <row r="11" spans="1:12" ht="38.25">
      <c r="A11" t="s">
        <v>6</v>
      </c>
      <c r="B11" t="s">
        <v>143</v>
      </c>
      <c r="C11" s="2" t="s">
        <v>389</v>
      </c>
    </row>
    <row r="12" spans="1:12">
      <c r="A12" t="s">
        <v>6</v>
      </c>
      <c r="B12" t="s">
        <v>145</v>
      </c>
      <c r="C12" s="2" t="s">
        <v>390</v>
      </c>
    </row>
    <row r="13" spans="1:12">
      <c r="A13" t="s">
        <v>28</v>
      </c>
      <c r="B13" t="s">
        <v>143</v>
      </c>
      <c r="C13" s="2" t="s">
        <v>391</v>
      </c>
    </row>
    <row r="14" spans="1:12">
      <c r="A14" t="s">
        <v>39</v>
      </c>
      <c r="B14" t="s">
        <v>143</v>
      </c>
      <c r="C14" s="2" t="s">
        <v>391</v>
      </c>
    </row>
    <row r="15" spans="1:12">
      <c r="A15" t="s">
        <v>174</v>
      </c>
      <c r="B15" t="s">
        <v>143</v>
      </c>
      <c r="C15" s="2" t="s">
        <v>391</v>
      </c>
    </row>
    <row r="16" spans="1:12">
      <c r="A16" t="s">
        <v>40</v>
      </c>
      <c r="B16" t="s">
        <v>143</v>
      </c>
      <c r="C16" s="2" t="s">
        <v>391</v>
      </c>
    </row>
    <row r="17" spans="1:3">
      <c r="A17" s="3" t="s">
        <v>176</v>
      </c>
      <c r="B17" t="s">
        <v>143</v>
      </c>
      <c r="C17" s="2" t="s">
        <v>391</v>
      </c>
    </row>
    <row r="18" spans="1:3">
      <c r="A18" t="s">
        <v>171</v>
      </c>
      <c r="B18" t="s">
        <v>143</v>
      </c>
      <c r="C18" s="2" t="s">
        <v>391</v>
      </c>
    </row>
  </sheetData>
  <sheetProtection selectLockedCells="1" selectUnlockedCells="1"/>
  <pageMargins left="0.75" right="0.75" top="1" bottom="1" header="0.51180555555555551" footer="0.51180555555555551"/>
  <pageSetup paperSize="9" firstPageNumber="0" pageOrder="overThenDown"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"/>
  <sheetViews>
    <sheetView zoomScale="120" zoomScaleNormal="120" workbookViewId="0">
      <selection activeCell="D6" sqref="D6"/>
    </sheetView>
  </sheetViews>
  <sheetFormatPr defaultColWidth="11.5703125" defaultRowHeight="12.75"/>
  <cols>
    <col min="3" max="3" width="26.85546875" customWidth="1"/>
  </cols>
  <sheetData>
    <row r="1" spans="1:4">
      <c r="A1" s="1" t="s">
        <v>0</v>
      </c>
      <c r="B1" s="1" t="s">
        <v>187</v>
      </c>
      <c r="C1" s="7" t="s">
        <v>392</v>
      </c>
      <c r="D1" s="7" t="s">
        <v>190</v>
      </c>
    </row>
    <row r="2" spans="1:4">
      <c r="A2" t="s">
        <v>46</v>
      </c>
      <c r="B2" t="s">
        <v>95</v>
      </c>
      <c r="C2" t="s">
        <v>393</v>
      </c>
      <c r="D2" t="s">
        <v>208</v>
      </c>
    </row>
    <row r="3" spans="1:4">
      <c r="A3" t="s">
        <v>6</v>
      </c>
      <c r="B3" t="s">
        <v>151</v>
      </c>
      <c r="C3" t="s">
        <v>394</v>
      </c>
      <c r="D3" s="5" t="s">
        <v>284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"/>
  <sheetViews>
    <sheetView zoomScale="120" zoomScaleNormal="120" workbookViewId="0">
      <pane ySplit="1" topLeftCell="A8" activePane="bottomLeft" state="frozen"/>
      <selection pane="bottomLeft" activeCell="D2" sqref="D2"/>
    </sheetView>
  </sheetViews>
  <sheetFormatPr defaultColWidth="8.42578125" defaultRowHeight="12.75"/>
  <cols>
    <col min="2" max="2" width="12.7109375" customWidth="1"/>
    <col min="3" max="3" width="24" customWidth="1"/>
  </cols>
  <sheetData>
    <row r="1" spans="1:4" s="1" customFormat="1">
      <c r="A1" s="1" t="s">
        <v>0</v>
      </c>
      <c r="B1" s="1" t="s">
        <v>1</v>
      </c>
      <c r="C1" s="1" t="s">
        <v>190</v>
      </c>
      <c r="D1" s="1" t="s">
        <v>395</v>
      </c>
    </row>
    <row r="2" spans="1:4">
      <c r="A2" t="s">
        <v>6</v>
      </c>
      <c r="B2" t="s">
        <v>147</v>
      </c>
      <c r="C2" t="s">
        <v>396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"/>
  <sheetViews>
    <sheetView zoomScale="120" zoomScaleNormal="120" workbookViewId="0">
      <pane ySplit="1" topLeftCell="A2" activePane="bottomLeft" state="frozen"/>
      <selection pane="bottomLeft" activeCell="D2" sqref="D2"/>
    </sheetView>
  </sheetViews>
  <sheetFormatPr defaultColWidth="8.42578125" defaultRowHeight="12.75"/>
  <cols>
    <col min="2" max="2" width="12.7109375" customWidth="1"/>
    <col min="3" max="3" width="21.42578125" customWidth="1"/>
  </cols>
  <sheetData>
    <row r="1" spans="1:4" s="1" customFormat="1">
      <c r="A1" s="1" t="s">
        <v>0</v>
      </c>
      <c r="B1" s="1" t="s">
        <v>1</v>
      </c>
      <c r="C1" s="1" t="s">
        <v>190</v>
      </c>
      <c r="D1" s="1" t="s">
        <v>395</v>
      </c>
    </row>
    <row r="2" spans="1:4">
      <c r="A2" t="s">
        <v>6</v>
      </c>
      <c r="B2" t="s">
        <v>147</v>
      </c>
      <c r="C2" t="s">
        <v>305</v>
      </c>
    </row>
    <row r="3" spans="1:4">
      <c r="A3" t="s">
        <v>171</v>
      </c>
      <c r="B3" t="s">
        <v>172</v>
      </c>
      <c r="C3" t="s">
        <v>397</v>
      </c>
    </row>
    <row r="4" spans="1:4">
      <c r="A4" t="s">
        <v>171</v>
      </c>
      <c r="B4" t="s">
        <v>172</v>
      </c>
      <c r="C4" t="s">
        <v>398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2"/>
  <sheetViews>
    <sheetView zoomScale="120" zoomScaleNormal="120" workbookViewId="0">
      <pane ySplit="1" topLeftCell="A2" activePane="bottomLeft" state="frozen"/>
      <selection pane="bottomLeft" activeCell="A26" sqref="A26"/>
    </sheetView>
  </sheetViews>
  <sheetFormatPr defaultColWidth="8.42578125" defaultRowHeight="12.75"/>
  <cols>
    <col min="1" max="1" width="24.5703125" customWidth="1"/>
    <col min="2" max="2" width="24.42578125" customWidth="1"/>
    <col min="3" max="4" width="33.42578125" customWidth="1"/>
  </cols>
  <sheetData>
    <row r="1" spans="1:3" s="1" customFormat="1">
      <c r="A1" s="1" t="s">
        <v>399</v>
      </c>
      <c r="B1" s="1" t="s">
        <v>400</v>
      </c>
      <c r="C1" s="1" t="s">
        <v>401</v>
      </c>
    </row>
    <row r="2" spans="1:3">
      <c r="A2" t="s">
        <v>123</v>
      </c>
      <c r="B2" t="s">
        <v>122</v>
      </c>
      <c r="C2" t="s">
        <v>11</v>
      </c>
    </row>
    <row r="3" spans="1:3">
      <c r="A3" t="s">
        <v>190</v>
      </c>
      <c r="B3" t="s">
        <v>362</v>
      </c>
      <c r="C3" t="s">
        <v>402</v>
      </c>
    </row>
    <row r="4" spans="1:3">
      <c r="A4" t="s">
        <v>142</v>
      </c>
      <c r="B4" t="s">
        <v>204</v>
      </c>
      <c r="C4" t="s">
        <v>132</v>
      </c>
    </row>
    <row r="5" spans="1:3">
      <c r="A5" t="s">
        <v>135</v>
      </c>
      <c r="B5" t="s">
        <v>253</v>
      </c>
      <c r="C5" t="s">
        <v>403</v>
      </c>
    </row>
    <row r="6" spans="1:3">
      <c r="A6" t="s">
        <v>139</v>
      </c>
      <c r="B6" t="s">
        <v>404</v>
      </c>
      <c r="C6" t="s">
        <v>149</v>
      </c>
    </row>
    <row r="7" spans="1:3">
      <c r="A7" t="s">
        <v>129</v>
      </c>
      <c r="B7" t="s">
        <v>220</v>
      </c>
      <c r="C7" t="s">
        <v>405</v>
      </c>
    </row>
    <row r="8" spans="1:3">
      <c r="B8" t="s">
        <v>406</v>
      </c>
    </row>
    <row r="9" spans="1:3">
      <c r="B9" t="s">
        <v>215</v>
      </c>
    </row>
    <row r="10" spans="1:3">
      <c r="B10" t="s">
        <v>211</v>
      </c>
    </row>
    <row r="11" spans="1:3">
      <c r="B11" t="s">
        <v>351</v>
      </c>
    </row>
    <row r="12" spans="1:3">
      <c r="B12" t="s">
        <v>226</v>
      </c>
    </row>
  </sheetData>
  <sheetProtection selectLockedCells="1" selectUnlockedCells="1"/>
  <pageMargins left="0.75" right="0.75" top="1" bottom="1" header="0.51180555555555551" footer="0.51180555555555551"/>
  <pageSetup paperSize="9" firstPageNumber="0" pageOrder="overThenDown"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82"/>
  <sheetViews>
    <sheetView zoomScale="120" zoomScaleNormal="120" workbookViewId="0">
      <pane ySplit="1" topLeftCell="A5" activePane="bottomLeft" state="frozen"/>
      <selection pane="bottomLeft" activeCell="E11" sqref="E11"/>
    </sheetView>
  </sheetViews>
  <sheetFormatPr defaultColWidth="11.42578125" defaultRowHeight="14.65" customHeight="1"/>
  <cols>
    <col min="1" max="1" width="16.42578125" customWidth="1"/>
    <col min="2" max="2" width="66.85546875" customWidth="1"/>
  </cols>
  <sheetData>
    <row r="1" spans="1:2" ht="12.75" customHeight="1">
      <c r="A1" s="1" t="s">
        <v>407</v>
      </c>
      <c r="B1" s="8" t="s">
        <v>408</v>
      </c>
    </row>
    <row r="2" spans="1:2" ht="14.65" customHeight="1">
      <c r="A2" t="s">
        <v>409</v>
      </c>
      <c r="B2" s="9" t="str">
        <f>IF(OR(ISBLANK(tab!$C2),EXACT(MID(tab!$C2,1,LEN($A$2)),$A$2)),"",""""&amp;$A$2&amp;tab!$A2&amp;"."&amp;tab!$B2&amp;""": """&amp;tab!$C2&amp;""",")</f>
        <v>"layout.tab.header.Person.details": "Profile",</v>
      </c>
    </row>
    <row r="3" spans="1:2" ht="15.4" customHeight="1">
      <c r="B3" s="9" t="str">
        <f>IF(OR(ISBLANK(tab!$C3),EXACT(MID(tab!$C3,1,LEN($A$2)),$A$2)),"",""""&amp;$A$2&amp;tab!$A3&amp;"."&amp;tab!$B3&amp;""": """&amp;tab!$C3&amp;""",")</f>
        <v>"layout.tab.header.Person.creators": "creator of",</v>
      </c>
    </row>
    <row r="4" spans="1:2" ht="15.4" customHeight="1">
      <c r="B4" s="9" t="e">
        <f>IF(OR(ISBLANK(tab!#REF!),EXACT(MID(tab!#REF!,1,LEN($A$2)),$A$2)),"",""""&amp;$A$2&amp;tab!#REF!&amp;"."&amp;tab!#REF!&amp;""": """&amp;tab!#REF!&amp;""",")</f>
        <v>#REF!</v>
      </c>
    </row>
    <row r="5" spans="1:2" ht="15.4" customHeight="1">
      <c r="B5" s="9" t="e">
        <f>IF(OR(ISBLANK(tab!#REF!),EXACT(MID(tab!#REF!,1,LEN($A$2)),$A$2)),"",""""&amp;$A$2&amp;tab!#REF!&amp;"."&amp;tab!#REF!&amp;""": """&amp;tab!#REF!&amp;""",")</f>
        <v>#REF!</v>
      </c>
    </row>
    <row r="6" spans="1:2" ht="15.4" customHeight="1">
      <c r="B6" s="9" t="e">
        <f>IF(OR(ISBLANK(tab!#REF!),EXACT(MID(tab!#REF!,1,LEN($A$2)),$A$2)),"",""""&amp;$A$2&amp;tab!#REF!&amp;"."&amp;tab!#REF!&amp;""": """&amp;tab!#REF!&amp;""",")</f>
        <v>#REF!</v>
      </c>
    </row>
    <row r="7" spans="1:2" ht="15.4" customHeight="1">
      <c r="B7" s="9" t="e">
        <f>IF(OR(ISBLANK(tab!#REF!),EXACT(MID(tab!#REF!,1,LEN($A$2)),$A$2)),"",""""&amp;$A$2&amp;tab!#REF!&amp;"."&amp;tab!#REF!&amp;""": """&amp;tab!#REF!&amp;""",")</f>
        <v>#REF!</v>
      </c>
    </row>
    <row r="8" spans="1:2" ht="15.4" customHeight="1">
      <c r="B8" s="9" t="e">
        <f>IF(OR(ISBLANK(tab!#REF!),EXACT(MID(tab!#REF!,1,LEN($A$2)),$A$2)),"",""""&amp;$A$2&amp;tab!#REF!&amp;"."&amp;tab!#REF!&amp;""": """&amp;tab!#REF!&amp;""",")</f>
        <v>#REF!</v>
      </c>
    </row>
    <row r="9" spans="1:2" ht="15.4" customHeight="1">
      <c r="B9" s="9" t="str">
        <f>IF(OR(ISBLANK(tab!$C8),EXACT(MID(tab!$C8,1,LEN($A$2)),$A$2)),"",""""&amp;$A$2&amp;tab!$A8&amp;"."&amp;tab!$B8&amp;""": """&amp;tab!$C8&amp;""",")</f>
        <v>"layout.tab.header.OrgUnit.maininformation": "Information",</v>
      </c>
    </row>
    <row r="10" spans="1:2" ht="15.4" customHeight="1">
      <c r="B10" s="9" t="e">
        <f>IF(OR(ISBLANK(tab!#REF!),EXACT(MID(tab!#REF!,1,LEN($A$2)),$A$2)),"",""""&amp;$A$2&amp;tab!#REF!&amp;"."&amp;tab!#REF!&amp;""": """&amp;tab!#REF!&amp;""",")</f>
        <v>#REF!</v>
      </c>
    </row>
    <row r="11" spans="1:2" ht="15.4" customHeight="1">
      <c r="B11" s="9" t="e">
        <f>IF(OR(ISBLANK(tab!#REF!),EXACT(MID(tab!#REF!,1,LEN($A$2)),$A$2)),"",""""&amp;$A$2&amp;tab!#REF!&amp;"."&amp;tab!#REF!&amp;""": """&amp;tab!#REF!&amp;""",")</f>
        <v>#REF!</v>
      </c>
    </row>
    <row r="12" spans="1:2" ht="15.4" customHeight="1">
      <c r="B12" s="9" t="str">
        <f>IF(OR(ISBLANK(tab!$C9),EXACT(MID(tab!$C9,1,LEN($A$2)),$A$2)),"",""""&amp;$A$2&amp;tab!$A9&amp;"."&amp;tab!$B9&amp;""": """&amp;tab!$C9&amp;""",")</f>
        <v>"layout.tab.header.OrgUnit.publications": "Publications",</v>
      </c>
    </row>
    <row r="13" spans="1:2" ht="15.4" customHeight="1">
      <c r="B13" s="9" t="e">
        <f>IF(OR(ISBLANK(tab!#REF!),EXACT(MID(tab!#REF!,1,LEN($A$2)),$A$2)),"",""""&amp;$A$2&amp;tab!#REF!&amp;"."&amp;tab!#REF!&amp;""": """&amp;tab!#REF!&amp;""",")</f>
        <v>#REF!</v>
      </c>
    </row>
    <row r="14" spans="1:2" ht="15.4" customHeight="1">
      <c r="B14" s="9" t="str">
        <f>IF(OR(ISBLANK(tab!$C10),EXACT(MID(tab!$C10,1,LEN($A$2)),$A$2)),"",""""&amp;$A$2&amp;tab!$A10&amp;"."&amp;tab!$B10&amp;""": """&amp;tab!$C10&amp;""",")</f>
        <v>"layout.tab.header.OrgUnit.projects": "Projects",</v>
      </c>
    </row>
    <row r="15" spans="1:2" ht="15.4" customHeight="1">
      <c r="B15" s="9" t="e">
        <f>IF(OR(ISBLANK(tab!#REF!),EXACT(MID(tab!#REF!,1,LEN($A$2)),$A$2)),"",""""&amp;$A$2&amp;tab!#REF!&amp;"."&amp;tab!#REF!&amp;""": """&amp;tab!#REF!&amp;""",")</f>
        <v>#REF!</v>
      </c>
    </row>
    <row r="16" spans="1:2" ht="15.4" customHeight="1">
      <c r="B16" s="9" t="str">
        <f>IF(OR(ISBLANK(tab!$C11),EXACT(MID(tab!$C11,1,LEN($A$2)),$A$2)),"",""""&amp;$A$2&amp;tab!$A11&amp;"."&amp;tab!$B11&amp;""": """&amp;tab!$C11&amp;""",")</f>
        <v>"layout.tab.header.OrgUnit.people": "People",</v>
      </c>
    </row>
    <row r="17" spans="2:2" ht="15.4" customHeight="1">
      <c r="B17" s="9" t="str">
        <f>IF(OR(ISBLANK(tab!$C13),EXACT(MID(tab!$C13,1,LEN($A$2)),$A$2)),"",""""&amp;$A$2&amp;tab!$A13&amp;"."&amp;tab!$B13&amp;""": """&amp;tab!$C13&amp;""",")</f>
        <v>"layout.tab.header.Project.maininformation": "Information",</v>
      </c>
    </row>
    <row r="18" spans="2:2" ht="15.4" customHeight="1">
      <c r="B18" s="9" t="e">
        <f>IF(OR(ISBLANK(tab!#REF!),EXACT(MID(tab!#REF!,1,LEN($A$2)),$A$2)),"",""""&amp;$A$2&amp;tab!#REF!&amp;"."&amp;tab!#REF!&amp;""": """&amp;tab!#REF!&amp;""",")</f>
        <v>#REF!</v>
      </c>
    </row>
    <row r="19" spans="2:2" ht="15.4" customHeight="1">
      <c r="B19" s="9" t="e">
        <f>IF(OR(ISBLANK(tab!#REF!),EXACT(MID(tab!#REF!,1,LEN($A$2)),$A$2)),"",""""&amp;$A$2&amp;tab!#REF!&amp;"."&amp;tab!#REF!&amp;""": """&amp;tab!#REF!&amp;""",")</f>
        <v>#REF!</v>
      </c>
    </row>
    <row r="20" spans="2:2" ht="14.65" customHeight="1">
      <c r="B20" s="9" t="e">
        <f>IF(OR(ISBLANK(tab!#REF!),EXACT(MID(tab!#REF!,1,LEN($A$2)),$A$2)),"",""""&amp;$A$2&amp;tab!#REF!&amp;"."&amp;tab!#REF!&amp;""": """&amp;tab!#REF!&amp;""",")</f>
        <v>#REF!</v>
      </c>
    </row>
    <row r="21" spans="2:2" ht="14.65" customHeight="1">
      <c r="B21" s="9" t="e">
        <f>IF(OR(ISBLANK(tab!#REF!),EXACT(MID(tab!#REF!,1,LEN($A$2)),$A$2)),"",""""&amp;$A$2&amp;tab!#REF!&amp;"."&amp;tab!#REF!&amp;""": """&amp;tab!#REF!&amp;""",")</f>
        <v>#REF!</v>
      </c>
    </row>
    <row r="22" spans="2:2" ht="14.65" customHeight="1">
      <c r="B22" s="9" t="str">
        <f>IF(OR(ISBLANK(tab!$C14),EXACT(MID(tab!$C14,1,LEN($A$2)),$A$2)),"",""""&amp;$A$2&amp;tab!$A14&amp;"."&amp;tab!$B14&amp;""": """&amp;tab!$C14&amp;""",")</f>
        <v>"layout.tab.header.Event.details": "Details",</v>
      </c>
    </row>
    <row r="23" spans="2:2" ht="14.65" customHeight="1">
      <c r="B23" s="9" t="e">
        <f>IF(OR(ISBLANK(tab!#REF!),EXACT(MID(tab!#REF!,1,LEN($A$2)),$A$2)),"",""""&amp;$A$2&amp;tab!#REF!&amp;"."&amp;tab!#REF!&amp;""": """&amp;tab!#REF!&amp;""",")</f>
        <v>#REF!</v>
      </c>
    </row>
    <row r="24" spans="2:2" ht="14.65" customHeight="1">
      <c r="B24" s="9" t="e">
        <f>IF(OR(ISBLANK(tab!#REF!),EXACT(MID(tab!#REF!,1,LEN($A$2)),$A$2)),"",""""&amp;$A$2&amp;tab!#REF!&amp;"."&amp;tab!#REF!&amp;""": """&amp;tab!#REF!&amp;""",")</f>
        <v>#REF!</v>
      </c>
    </row>
    <row r="25" spans="2:2" ht="14.65" customHeight="1">
      <c r="B25" s="9" t="e">
        <f>IF(OR(ISBLANK(tab!#REF!),EXACT(MID(tab!#REF!,1,LEN($A$2)),$A$2)),"",""""&amp;$A$2&amp;tab!#REF!&amp;"."&amp;tab!#REF!&amp;""": """&amp;tab!#REF!&amp;""",")</f>
        <v>#REF!</v>
      </c>
    </row>
    <row r="26" spans="2:2" ht="14.65" customHeight="1">
      <c r="B26" s="9" t="e">
        <f>IF(OR(ISBLANK(tab!#REF!),EXACT(MID(tab!#REF!,1,LEN($A$2)),$A$2)),"",""""&amp;$A$2&amp;tab!#REF!&amp;"."&amp;tab!#REF!&amp;""": """&amp;tab!#REF!&amp;""",")</f>
        <v>#REF!</v>
      </c>
    </row>
    <row r="27" spans="2:2" ht="14.65" customHeight="1">
      <c r="B27" s="9" t="str">
        <f>IF(OR(ISBLANK(tab!$C18),EXACT(MID(tab!$C18,1,LEN($A$2)),$A$2)),"",""""&amp;$A$2&amp;tab!$A18&amp;"."&amp;tab!$B18&amp;""": """&amp;tab!$C18&amp;""",")</f>
        <v>"layout.tab.header.Publication.details": "Details",</v>
      </c>
    </row>
    <row r="28" spans="2:2" ht="14.65" customHeight="1">
      <c r="B28" s="9" t="e">
        <f>IF(OR(ISBLANK(tab!#REF!),EXACT(MID(tab!#REF!,1,LEN($A$2)),$A$2)),"",""""&amp;$A$2&amp;tab!#REF!&amp;"."&amp;tab!#REF!&amp;""": """&amp;tab!#REF!&amp;""",")</f>
        <v>#REF!</v>
      </c>
    </row>
    <row r="29" spans="2:2" ht="14.65" customHeight="1">
      <c r="B29" s="9" t="e">
        <f>IF(OR(ISBLANK(tab!#REF!),EXACT(MID(tab!#REF!,1,LEN($A$2)),$A$2)),"",""""&amp;$A$2&amp;tab!#REF!&amp;"."&amp;tab!#REF!&amp;""": """&amp;tab!#REF!&amp;""",")</f>
        <v>#REF!</v>
      </c>
    </row>
    <row r="30" spans="2:2" ht="14.65" customHeight="1">
      <c r="B30" s="9" t="e">
        <f>IF(OR(ISBLANK(tab!#REF!),EXACT(MID(tab!#REF!,1,LEN($A$2)),$A$2)),"",""""&amp;$A$2&amp;tab!#REF!&amp;"."&amp;tab!#REF!&amp;""": """&amp;tab!#REF!&amp;""",")</f>
        <v>#REF!</v>
      </c>
    </row>
    <row r="31" spans="2:2" ht="14.65" customHeight="1">
      <c r="B31" s="9" t="e">
        <f>IF(OR(ISBLANK(tab!#REF!),EXACT(MID(tab!#REF!,1,LEN($A$2)),$A$2)),"",""""&amp;$A$2&amp;tab!#REF!&amp;"."&amp;tab!#REF!&amp;""": """&amp;tab!#REF!&amp;""",")</f>
        <v>#REF!</v>
      </c>
    </row>
    <row r="32" spans="2:2" ht="14.65" customHeight="1">
      <c r="B32" s="9" t="e">
        <f>IF(OR(ISBLANK(tab!#REF!),EXACT(MID(tab!#REF!,1,LEN($A$2)),$A$2)),"",""""&amp;$A$2&amp;tab!#REF!&amp;"."&amp;tab!#REF!&amp;""": """&amp;tab!#REF!&amp;""",")</f>
        <v>#REF!</v>
      </c>
    </row>
    <row r="33" spans="2:2" ht="14.65" customHeight="1">
      <c r="B33" s="9" t="str">
        <f>IF(OR(ISBLANK(tab!$C19),EXACT(MID(tab!$C19,1,LEN($A$2)),$A$2)),"",""""&amp;$A$2&amp;tab!$A19&amp;"."&amp;tab!$B19&amp;""": """&amp;tab!$C19&amp;""",")</f>
        <v>"layout.tab.header.Fond.details": "Fond Details",</v>
      </c>
    </row>
    <row r="34" spans="2:2" ht="14.65" customHeight="1">
      <c r="B34" s="9" t="str">
        <f>IF(OR(ISBLANK(tab!$C20),EXACT(MID(tab!$C20,1,LEN($A$2)),$A$2)),"",""""&amp;$A$2&amp;tab!$A20&amp;"."&amp;tab!$B20&amp;""": """&amp;tab!$C20&amp;""",")</f>
        <v>"layout.tab.header.Fond.fondcontext": "Fond Context",</v>
      </c>
    </row>
    <row r="35" spans="2:2" ht="14.65" customHeight="1">
      <c r="B35" s="9" t="str">
        <f>IF(OR(ISBLANK(tab!$C21),EXACT(MID(tab!$C21,1,LEN($A$2)),$A$2)),"",""""&amp;$A$2&amp;tab!$A21&amp;"."&amp;tab!$B21&amp;""": """&amp;tab!$C21&amp;""",")</f>
        <v>"layout.tab.header.Fond.fondevents": "Fond Events",</v>
      </c>
    </row>
    <row r="36" spans="2:2" ht="14.65" customHeight="1">
      <c r="B36" s="9" t="str">
        <f>IF(OR(ISBLANK(tab!$C22),EXACT(MID(tab!$C22,1,LEN($A$2)),$A$2)),"",""""&amp;$A$2&amp;tab!$A22&amp;"."&amp;tab!$B22&amp;""": """&amp;tab!$C22&amp;""",")</f>
        <v>"layout.tab.header.Fond.fondeditors": "FondEditors",</v>
      </c>
    </row>
    <row r="37" spans="2:2" ht="14.65" customHeight="1">
      <c r="B37" s="9" t="str">
        <f>IF(OR(ISBLANK(tab!$C23),EXACT(MID(tab!$C23,1,LEN($A$2)),$A$2)),"",""""&amp;$A$2&amp;tab!$A23&amp;"."&amp;tab!$B23&amp;""": """&amp;tab!$C23&amp;""",")</f>
        <v>"layout.tab.header.Place.details": "Place Details",</v>
      </c>
    </row>
    <row r="38" spans="2:2" ht="14.65" customHeight="1">
      <c r="B38" s="9" t="str">
        <f>IF(OR(ISBLANK(tab!$C24),EXACT(MID(tab!$C24,1,LEN($A$2)),$A$2)),"",""""&amp;$A$2&amp;tab!$A24&amp;"."&amp;tab!$B24&amp;""": """&amp;tab!$C24&amp;""",")</f>
        <v>"layout.tab.header.Place.placeevents": "Place Events",</v>
      </c>
    </row>
    <row r="39" spans="2:2" ht="14.65" customHeight="1">
      <c r="B39" s="9" t="str">
        <f>IF(OR(ISBLANK(tab!$C25),EXACT(MID(tab!$C25,1,LEN($A$2)),$A$2)),"",""""&amp;$A$2&amp;tab!$A25&amp;"."&amp;tab!$B25&amp;""": """&amp;tab!$C25&amp;""",")</f>
        <v>"layout.tab.header.Place.placeexternallinks": "External Links",</v>
      </c>
    </row>
    <row r="40" spans="2:2" ht="14.65" customHeight="1">
      <c r="B40" s="9" t="str">
        <f>IF(OR(ISBLANK(tab!$C26),EXACT(MID(tab!$C26,1,LEN($A$2)),$A$2)),"",""""&amp;$A$2&amp;tab!$A26&amp;"."&amp;tab!$B26&amp;""": """&amp;tab!$C26&amp;""",")</f>
        <v>"layout.tab.header.Family.details": "Family details",</v>
      </c>
    </row>
    <row r="41" spans="2:2" ht="14.65" customHeight="1">
      <c r="B41" s="9" t="str">
        <f>IF(OR(ISBLANK(tab!$C27),EXACT(MID(tab!$C27,1,LEN($A$2)),$A$2)),"",""""&amp;$A$2&amp;tab!$A27&amp;"."&amp;tab!$B27&amp;""": """&amp;tab!$C27&amp;""",")</f>
        <v>"layout.tab.header.Family.familyeditors": "Family Editors",</v>
      </c>
    </row>
    <row r="42" spans="2:2" ht="14.65" customHeight="1">
      <c r="B42" s="9" t="str">
        <f>IF(OR(ISBLANK(tab!$C28),EXACT(MID(tab!$C28,1,LEN($A$2)),$A$2)),"",""""&amp;$A$2&amp;tab!$A28&amp;"."&amp;tab!$B28&amp;""": """&amp;tab!$C28&amp;""",")</f>
        <v>"layout.tab.header.Journal_Fond.details": "Journal Fond Details",</v>
      </c>
    </row>
    <row r="43" spans="2:2" ht="14.65" customHeight="1">
      <c r="B43" s="9" t="str">
        <f>IF(OR(ISBLANK(tab!$C29),EXACT(MID(tab!$C29,1,LEN($A$2)),$A$2)),"",""""&amp;$A$2&amp;tab!$A29&amp;"."&amp;tab!$B29&amp;""": """&amp;tab!$C29&amp;""",")</f>
        <v>"layout.tab.header.Journal_Fond.journalfondcontext": "Journal Fond Context",</v>
      </c>
    </row>
    <row r="44" spans="2:2" ht="14.65" customHeight="1">
      <c r="B44" s="9" t="str">
        <f>IF(OR(ISBLANK(tab!$C30),EXACT(MID(tab!$C30,1,LEN($A$2)),$A$2)),"",""""&amp;$A$2&amp;tab!$A30&amp;"."&amp;tab!$B30&amp;""": """&amp;tab!$C30&amp;""",")</f>
        <v>"layout.tab.header.News.details": "Details",</v>
      </c>
    </row>
    <row r="45" spans="2:2" ht="14.65" customHeight="1">
      <c r="B45" s="9" t="str">
        <f>IF(OR(ISBLANK(tab!$C31),EXACT(MID(tab!$C31,1,LEN($A$2)),$A$2)),"",""""&amp;$A$2&amp;tab!$A31&amp;"."&amp;tab!$B31&amp;""": """&amp;tab!$C31&amp;""",")</f>
        <v>"layout.tab.header.Path.details": "Path Details",</v>
      </c>
    </row>
    <row r="46" spans="2:2" ht="14.65" customHeight="1">
      <c r="B46" s="9" t="str">
        <f>IF(OR(ISBLANK(tab!$C32),EXACT(MID(tab!$C32,1,LEN($A$2)),$A$2)),"",""""&amp;$A$2&amp;tab!$A32&amp;"."&amp;tab!$B32&amp;""": """&amp;tab!$C32&amp;""",")</f>
        <v>"layout.tab.header.Archival_Materials.details": "Details",</v>
      </c>
    </row>
    <row r="47" spans="2:2" ht="14.65" customHeight="1">
      <c r="B47" s="9" t="str">
        <f>IF(OR(ISBLANK(tab!$C33),EXACT(MID(tab!$C33,1,LEN($A$2)),$A$2)),"",""""&amp;$A$2&amp;tab!$A33&amp;"."&amp;tab!$B33&amp;""": """&amp;tab!$C33&amp;""",")</f>
        <v>"layout.tab.header.Aggregation.details": "Aggregation Details",</v>
      </c>
    </row>
    <row r="48" spans="2:2" ht="14.65" customHeight="1">
      <c r="B48" s="9" t="str">
        <f>IF(OR(ISBLANK(tab!$C34),EXACT(MID(tab!$C34,1,LEN($A$2)),$A$2)),"",""""&amp;$A$2&amp;tab!$A34&amp;"."&amp;tab!$B34&amp;""": """&amp;tab!$C34&amp;""",")</f>
        <v>"layout.tab.header.Aggregation.aggregationcontext": "Aggregation Context",</v>
      </c>
    </row>
    <row r="49" spans="2:2" ht="14.65" customHeight="1">
      <c r="B49" s="9" t="str">
        <f>IF(OR(ISBLANK(tab!$C35),EXACT(MID(tab!$C35,1,LEN($A$2)),$A$2)),"",""""&amp;$A$2&amp;tab!$A35&amp;"."&amp;tab!$B35&amp;""": """&amp;tab!$C35&amp;""",")</f>
        <v>"layout.tab.header.Static_Page.details": "Details",</v>
      </c>
    </row>
    <row r="50" spans="2:2" ht="14.65" customHeight="1">
      <c r="B50" s="9" t="str">
        <f>IF(OR(ISBLANK(tab!$C36),EXACT(MID(tab!$C36,1,LEN($A$2)),$A$2)),"",""""&amp;$A$2&amp;tab!$A36&amp;"."&amp;tab!$B36&amp;""": """&amp;tab!$C36&amp;""",")</f>
        <v>"layout.tab.header.Journal_Issue.details": "Details",</v>
      </c>
    </row>
    <row r="51" spans="2:2" ht="14.65" customHeight="1">
      <c r="B51" s="9" t="str">
        <f>IF(OR(ISBLANK(tab!$C37),EXACT(MID(tab!$C37,1,LEN($A$2)),$A$2)),"",""""&amp;$A$2&amp;tab!$A37&amp;"."&amp;tab!$B37&amp;""": """&amp;tab!$C37&amp;""",")</f>
        <v/>
      </c>
    </row>
    <row r="52" spans="2:2" ht="14.65" customHeight="1">
      <c r="B52" s="9" t="str">
        <f>IF(OR(ISBLANK(tab!$C38),EXACT(MID(tab!$C38,1,LEN($A$2)),$A$2)),"",""""&amp;$A$2&amp;tab!$A38&amp;"."&amp;tab!$B38&amp;""": """&amp;tab!$C38&amp;""",")</f>
        <v/>
      </c>
    </row>
    <row r="53" spans="2:2" ht="14.65" customHeight="1">
      <c r="B53" s="9" t="str">
        <f>IF(OR(ISBLANK(tab!$C39),EXACT(MID(tab!$C39,1,LEN($A$2)),$A$2)),"",""""&amp;$A$2&amp;tab!$A39&amp;"."&amp;tab!$B39&amp;""": """&amp;tab!$C39&amp;""",")</f>
        <v/>
      </c>
    </row>
    <row r="54" spans="2:2" ht="14.65" customHeight="1">
      <c r="B54" s="9" t="str">
        <f>IF(OR(ISBLANK(tab!$C40),EXACT(MID(tab!$C40,1,LEN($A$2)),$A$2)),"",""""&amp;$A$2&amp;tab!$A40&amp;"."&amp;tab!$B40&amp;""": """&amp;tab!$C40&amp;""",")</f>
        <v/>
      </c>
    </row>
    <row r="55" spans="2:2" ht="14.65" customHeight="1">
      <c r="B55" s="9" t="str">
        <f>IF(OR(ISBLANK(tab!$C41),EXACT(MID(tab!$C41,1,LEN($A$2)),$A$2)),"",""""&amp;$A$2&amp;tab!$A41&amp;"."&amp;tab!$B41&amp;""": """&amp;tab!$C41&amp;""",")</f>
        <v/>
      </c>
    </row>
    <row r="56" spans="2:2" ht="14.65" customHeight="1">
      <c r="B56" s="9" t="str">
        <f>IF(OR(ISBLANK(tab!$C42),EXACT(MID(tab!$C42,1,LEN($A$2)),$A$2)),"",""""&amp;$A$2&amp;tab!$A42&amp;"."&amp;tab!$B42&amp;""": """&amp;tab!$C42&amp;""",")</f>
        <v/>
      </c>
    </row>
    <row r="57" spans="2:2" ht="14.65" customHeight="1">
      <c r="B57" s="9" t="str">
        <f>IF(OR(ISBLANK(tab!$C43),EXACT(MID(tab!$C43,1,LEN($A$2)),$A$2)),"",""""&amp;$A$2&amp;tab!$A43&amp;"."&amp;tab!$B43&amp;""": """&amp;tab!$C43&amp;""",")</f>
        <v/>
      </c>
    </row>
    <row r="58" spans="2:2" ht="14.65" customHeight="1">
      <c r="B58" s="9" t="str">
        <f>IF(OR(ISBLANK(tab!$C44),EXACT(MID(tab!$C44,1,LEN($A$2)),$A$2)),"",""""&amp;$A$2&amp;tab!$A44&amp;"."&amp;tab!$B44&amp;""": """&amp;tab!$C44&amp;""",")</f>
        <v/>
      </c>
    </row>
    <row r="59" spans="2:2" ht="14.65" customHeight="1">
      <c r="B59" s="9" t="str">
        <f>IF(OR(ISBLANK(tab!$C45),EXACT(MID(tab!$C45,1,LEN($A$2)),$A$2)),"",""""&amp;$A$2&amp;tab!$A45&amp;"."&amp;tab!$B45&amp;""": """&amp;tab!$C45&amp;""",")</f>
        <v/>
      </c>
    </row>
    <row r="60" spans="2:2" ht="14.65" customHeight="1">
      <c r="B60" s="9" t="str">
        <f>IF(OR(ISBLANK(tab!$C46),EXACT(MID(tab!$C46,1,LEN($A$2)),$A$2)),"",""""&amp;$A$2&amp;tab!$A46&amp;"."&amp;tab!$B46&amp;""": """&amp;tab!$C46&amp;""",")</f>
        <v/>
      </c>
    </row>
    <row r="61" spans="2:2" ht="14.65" customHeight="1">
      <c r="B61" s="9" t="str">
        <f>IF(OR(ISBLANK(tab!$C47),EXACT(MID(tab!$C47,1,LEN($A$2)),$A$2)),"",""""&amp;$A$2&amp;tab!$A47&amp;"."&amp;tab!$B47&amp;""": """&amp;tab!$C47&amp;""",")</f>
        <v/>
      </c>
    </row>
    <row r="62" spans="2:2" ht="14.65" customHeight="1">
      <c r="B62" s="9" t="str">
        <f>IF(OR(ISBLANK(tab!$C48),EXACT(MID(tab!$C48,1,LEN($A$2)),$A$2)),"",""""&amp;$A$2&amp;tab!$A48&amp;"."&amp;tab!$B48&amp;""": """&amp;tab!$C48&amp;""",")</f>
        <v/>
      </c>
    </row>
    <row r="63" spans="2:2" ht="14.65" customHeight="1">
      <c r="B63" s="9" t="str">
        <f>IF(OR(ISBLANK(tab!$C49),EXACT(MID(tab!$C49,1,LEN($A$2)),$A$2)),"",""""&amp;$A$2&amp;tab!$A49&amp;"."&amp;tab!$B49&amp;""": """&amp;tab!$C49&amp;""",")</f>
        <v/>
      </c>
    </row>
    <row r="64" spans="2:2" ht="14.65" customHeight="1">
      <c r="B64" s="9" t="str">
        <f>IF(OR(ISBLANK(tab!$C50),EXACT(MID(tab!$C50,1,LEN($A$2)),$A$2)),"",""""&amp;$A$2&amp;tab!$A50&amp;"."&amp;tab!$B50&amp;""": """&amp;tab!$C50&amp;""",")</f>
        <v/>
      </c>
    </row>
    <row r="65" spans="2:2" ht="14.65" customHeight="1">
      <c r="B65" s="9" t="str">
        <f>IF(OR(ISBLANK(tab!$C51),EXACT(MID(tab!$C51,1,LEN($A$2)),$A$2)),"",""""&amp;$A$2&amp;tab!$A51&amp;"."&amp;tab!$B51&amp;""": """&amp;tab!$C51&amp;""",")</f>
        <v/>
      </c>
    </row>
    <row r="66" spans="2:2" ht="14.65" customHeight="1">
      <c r="B66" s="9" t="str">
        <f>IF(OR(ISBLANK(tab!$C52),EXACT(MID(tab!$C52,1,LEN($A$2)),$A$2)),"",""""&amp;$A$2&amp;tab!$A52&amp;"."&amp;tab!$B52&amp;""": """&amp;tab!$C52&amp;""",")</f>
        <v/>
      </c>
    </row>
    <row r="67" spans="2:2" ht="14.65" customHeight="1">
      <c r="B67" s="9" t="str">
        <f>IF(OR(ISBLANK(tab!$C53),EXACT(MID(tab!$C53,1,LEN($A$2)),$A$2)),"",""""&amp;$A$2&amp;tab!$A53&amp;"."&amp;tab!$B53&amp;""": """&amp;tab!$C53&amp;""",")</f>
        <v/>
      </c>
    </row>
    <row r="68" spans="2:2" ht="14.65" customHeight="1">
      <c r="B68" s="9" t="str">
        <f>IF(OR(ISBLANK(tab!$C54),EXACT(MID(tab!$C54,1,LEN($A$2)),$A$2)),"",""""&amp;$A$2&amp;tab!$A54&amp;"."&amp;tab!$B54&amp;""": """&amp;tab!$C54&amp;""",")</f>
        <v/>
      </c>
    </row>
    <row r="69" spans="2:2" ht="14.65" customHeight="1">
      <c r="B69" s="9" t="str">
        <f>IF(OR(ISBLANK(tab!$C55),EXACT(MID(tab!$C55,1,LEN($A$2)),$A$2)),"",""""&amp;$A$2&amp;tab!$A55&amp;"."&amp;tab!$B55&amp;""": """&amp;tab!$C55&amp;""",")</f>
        <v/>
      </c>
    </row>
    <row r="70" spans="2:2" ht="14.65" customHeight="1">
      <c r="B70" s="9" t="str">
        <f>IF(OR(ISBLANK(tab!$C56),EXACT(MID(tab!$C56,1,LEN($A$2)),$A$2)),"",""""&amp;$A$2&amp;tab!$A56&amp;"."&amp;tab!$B56&amp;""": """&amp;tab!$C56&amp;""",")</f>
        <v/>
      </c>
    </row>
    <row r="71" spans="2:2" ht="14.65" customHeight="1">
      <c r="B71" s="9" t="str">
        <f>IF(OR(ISBLANK(tab!$C57),EXACT(MID(tab!$C57,1,LEN($A$2)),$A$2)),"",""""&amp;$A$2&amp;tab!$A57&amp;"."&amp;tab!$B57&amp;""": """&amp;tab!$C57&amp;""",")</f>
        <v/>
      </c>
    </row>
    <row r="72" spans="2:2" ht="14.65" customHeight="1">
      <c r="B72" s="9" t="str">
        <f>IF(OR(ISBLANK(tab!$C58),EXACT(MID(tab!$C58,1,LEN($A$2)),$A$2)),"",""""&amp;$A$2&amp;tab!$A58&amp;"."&amp;tab!$B58&amp;""": """&amp;tab!$C58&amp;""",")</f>
        <v/>
      </c>
    </row>
    <row r="73" spans="2:2" ht="14.65" customHeight="1">
      <c r="B73" s="9" t="str">
        <f>IF(OR(ISBLANK(tab!$C59),EXACT(MID(tab!$C59,1,LEN($A$2)),$A$2)),"",""""&amp;$A$2&amp;tab!$A59&amp;"."&amp;tab!$B59&amp;""": """&amp;tab!$C59&amp;""",")</f>
        <v/>
      </c>
    </row>
    <row r="74" spans="2:2" ht="14.65" customHeight="1">
      <c r="B74" s="9" t="str">
        <f>IF(OR(ISBLANK(tab!$C60),EXACT(MID(tab!$C60,1,LEN($A$2)),$A$2)),"",""""&amp;$A$2&amp;tab!$A60&amp;"."&amp;tab!$B60&amp;""": """&amp;tab!$C60&amp;""",")</f>
        <v/>
      </c>
    </row>
    <row r="75" spans="2:2" ht="14.65" customHeight="1">
      <c r="B75" s="9" t="str">
        <f>IF(OR(ISBLANK(tab!$C61),EXACT(MID(tab!$C61,1,LEN($A$2)),$A$2)),"",""""&amp;$A$2&amp;tab!$A61&amp;"."&amp;tab!$B61&amp;""": """&amp;tab!$C61&amp;""",")</f>
        <v/>
      </c>
    </row>
    <row r="76" spans="2:2" ht="14.65" customHeight="1">
      <c r="B76" s="9" t="str">
        <f>IF(OR(ISBLANK(tab!$C62),EXACT(MID(tab!$C62,1,LEN($A$2)),$A$2)),"",""""&amp;$A$2&amp;tab!$A62&amp;"."&amp;tab!$B62&amp;""": """&amp;tab!$C62&amp;""",")</f>
        <v/>
      </c>
    </row>
    <row r="77" spans="2:2" ht="14.65" customHeight="1">
      <c r="B77" s="9" t="str">
        <f>IF(OR(ISBLANK(tab!$C63),EXACT(MID(tab!$C63,1,LEN($A$2)),$A$2)),"",""""&amp;$A$2&amp;tab!$A63&amp;"."&amp;tab!$B63&amp;""": """&amp;tab!$C63&amp;""",")</f>
        <v/>
      </c>
    </row>
    <row r="78" spans="2:2" ht="14.65" customHeight="1">
      <c r="B78" s="9" t="str">
        <f>IF(OR(ISBLANK(tab!$C64),EXACT(MID(tab!$C64,1,LEN($A$2)),$A$2)),"",""""&amp;$A$2&amp;tab!$A64&amp;"."&amp;tab!$B64&amp;""": """&amp;tab!$C64&amp;""",")</f>
        <v/>
      </c>
    </row>
    <row r="79" spans="2:2" ht="14.65" customHeight="1">
      <c r="B79" s="9" t="str">
        <f>IF(OR(ISBLANK(tab!$C65),EXACT(MID(tab!$C65,1,LEN($A$2)),$A$2)),"",""""&amp;$A$2&amp;tab!$A65&amp;"."&amp;tab!$B65&amp;""": """&amp;tab!$C65&amp;""",")</f>
        <v/>
      </c>
    </row>
    <row r="80" spans="2:2" ht="14.65" customHeight="1">
      <c r="B80" s="9" t="str">
        <f>IF(OR(ISBLANK(tab!$C66),EXACT(MID(tab!$C66,1,LEN($A$2)),$A$2)),"",""""&amp;$A$2&amp;tab!$A66&amp;"."&amp;tab!$B66&amp;""": """&amp;tab!$C66&amp;""",")</f>
        <v/>
      </c>
    </row>
    <row r="81" spans="2:2" ht="14.65" customHeight="1">
      <c r="B81" s="9" t="str">
        <f>IF(OR(ISBLANK(tab!$C67),EXACT(MID(tab!$C67,1,LEN($A$2)),$A$2)),"",""""&amp;$A$2&amp;tab!$A67&amp;"."&amp;tab!$B67&amp;""": """&amp;tab!$C67&amp;""",")</f>
        <v/>
      </c>
    </row>
    <row r="82" spans="2:2" ht="14.65" customHeight="1">
      <c r="B82" s="9" t="str">
        <f>IF(OR(ISBLANK(tab!$C68),EXACT(MID(tab!$C68,1,LEN($A$2)),$A$2)),"",""""&amp;$A$2&amp;tab!$A68&amp;"."&amp;tab!$B68&amp;""": """&amp;tab!$C68&amp;""",")</f>
        <v/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0"/>
  <sheetViews>
    <sheetView zoomScale="120" zoomScaleNormal="120" workbookViewId="0">
      <pane ySplit="1" topLeftCell="A2" activePane="bottomLeft" state="frozen"/>
      <selection pane="bottomLeft"/>
    </sheetView>
  </sheetViews>
  <sheetFormatPr defaultColWidth="11.42578125" defaultRowHeight="12.75"/>
  <cols>
    <col min="1" max="1" width="16.85546875" customWidth="1"/>
    <col min="2" max="2" width="68.7109375" customWidth="1"/>
  </cols>
  <sheetData>
    <row r="1" spans="1:2">
      <c r="A1" s="1" t="s">
        <v>407</v>
      </c>
      <c r="B1" s="8" t="s">
        <v>410</v>
      </c>
    </row>
    <row r="2" spans="1:2">
      <c r="A2" t="s">
        <v>411</v>
      </c>
      <c r="B2" s="9" t="str">
        <f>IF(OR(ISBLANK(box!$E2),EXACT(MID(box!$E2,1,LEN($A$2)),$A$2)),"",""""&amp;$A$2&amp;box!$A2&amp;"."&amp;box!$D2&amp;""": """&amp;box!$E2&amp;""",")</f>
        <v/>
      </c>
    </row>
    <row r="3" spans="1:2">
      <c r="B3" s="9" t="str">
        <f>IF(OR(ISBLANK(box!$E3),EXACT(MID(box!$E3,1,LEN($A$2)),$A$2)),"",""""&amp;$A$2&amp;box!$A3&amp;"."&amp;box!$D3&amp;""": """&amp;box!$E3&amp;""",")</f>
        <v>"layout.box.header.Person.projects": "Projects",</v>
      </c>
    </row>
    <row r="4" spans="1:2">
      <c r="B4" s="9" t="str">
        <f>IF(OR(ISBLANK(box!$E4),EXACT(MID(box!$E4,1,LEN($A$2)),$A$2)),"",""""&amp;$A$2&amp;box!$A4&amp;"."&amp;box!$D4&amp;""": """&amp;box!$E4&amp;""",")</f>
        <v>"layout.box.header.Person.researchoutputs": "Publications",</v>
      </c>
    </row>
    <row r="5" spans="1:2">
      <c r="B5" s="9" t="str">
        <f>IF(OR(ISBLANK(box!$E5),EXACT(MID(box!$E5,1,LEN($A$2)),$A$2)),"",""""&amp;$A$2&amp;box!$A5&amp;"."&amp;box!$D5&amp;""": """&amp;box!$E5&amp;""",")</f>
        <v>"layout.box.header.Person.qualifications": "Professional Qualifications",</v>
      </c>
    </row>
    <row r="6" spans="1:2">
      <c r="B6" s="9" t="str">
        <f>IF(OR(ISBLANK(box!$E6),EXACT(MID(box!$E6,1,LEN($A$2)),$A$2)),"",""""&amp;$A$2&amp;box!$A6&amp;"."&amp;box!$D6&amp;""": """&amp;box!$E6&amp;""",")</f>
        <v>"layout.box.header.Person.media": "Media Contact Directory",</v>
      </c>
    </row>
    <row r="7" spans="1:2">
      <c r="B7" s="9" t="str">
        <f>IF(OR(ISBLANK(box!$E7),EXACT(MID(box!$E7,1,LEN($A$2)),$A$2)),"",""""&amp;$A$2&amp;box!$A7&amp;"."&amp;box!$D7&amp;""": """&amp;box!$E7&amp;""",")</f>
        <v>"layout.box.header.Person.orcidsyncqueue": "ORCID Registry Queue",</v>
      </c>
    </row>
    <row r="8" spans="1:2">
      <c r="B8" s="9" t="str">
        <f>IF(OR(ISBLANK(box!$E8),EXACT(MID(box!$E8,1,LEN($A$2)),$A$2)),"",""""&amp;$A$2&amp;box!$A8&amp;"."&amp;box!$D8&amp;""": """&amp;box!$E8&amp;""",")</f>
        <v>"layout.box.header.Person.namecard": "Name Card",</v>
      </c>
    </row>
    <row r="9" spans="1:2">
      <c r="B9" s="9" t="str">
        <f>IF(OR(ISBLANK(box!$E9),EXACT(MID(box!$E9,1,LEN($A$2)),$A$2)),"",""""&amp;$A$2&amp;box!$A9&amp;"."&amp;box!$D9&amp;""": """&amp;box!$E9&amp;""",")</f>
        <v>"layout.box.header.Person.orcidsyncsettings": "ORCID Synchronization settings",</v>
      </c>
    </row>
    <row r="10" spans="1:2">
      <c r="B10" s="9" t="str">
        <f>IF(OR(ISBLANK(box!$E10),EXACT(MID(box!$E10,1,LEN($A$2)),$A$2)),"",""""&amp;$A$2&amp;box!$A10&amp;"."&amp;box!$D10&amp;""": """&amp;box!$E10&amp;""",")</f>
        <v>"layout.box.header.Person.researcherprofile": "Profile",</v>
      </c>
    </row>
    <row r="11" spans="1:2">
      <c r="B11" s="9" t="str">
        <f>IF(OR(ISBLANK(box!$E11),EXACT(MID(box!$E11,1,LEN($A$2)),$A$2)),"",""""&amp;$A$2&amp;box!$A11&amp;"."&amp;box!$D11&amp;""": """&amp;box!$E11&amp;""",")</f>
        <v>"layout.box.header.Person.orcidauthorizations": "ORCID Authorizations",</v>
      </c>
    </row>
    <row r="12" spans="1:2">
      <c r="B12" s="9" t="str">
        <f>IF(OR(ISBLANK(box!$E12),EXACT(MID(box!$E12,1,LEN($A$2)),$A$2)),"",""""&amp;$A$2&amp;box!$A12&amp;"."&amp;box!$D12&amp;""": """&amp;box!$E12&amp;""",")</f>
        <v>"layout.box.header.Person.metrics": "Metrics",</v>
      </c>
    </row>
    <row r="13" spans="1:2">
      <c r="B13" s="9" t="str">
        <f>IF(OR(ISBLANK(box!$E13),EXACT(MID(box!$E13,1,LEN($A$2)),$A$2)),"",""""&amp;$A$2&amp;box!$A13&amp;"."&amp;box!$D13&amp;""": """&amp;box!$E13&amp;""",")</f>
        <v>"layout.box.header.Person.usagemetrics": "Usage Metrics",</v>
      </c>
    </row>
    <row r="14" spans="1:2">
      <c r="B14" s="9" t="str">
        <f>IF(OR(ISBLANK(box!$E14),EXACT(MID(box!$E14,1,LEN($A$2)),$A$2)),"",""""&amp;$A$2&amp;box!$A14&amp;"."&amp;box!$D14&amp;""": """&amp;box!$E14&amp;""",")</f>
        <v>"layout.box.header.Person.secure": "Secured box",</v>
      </c>
    </row>
    <row r="15" spans="1:2">
      <c r="B15" s="9" t="str">
        <f>IF(OR(ISBLANK(box!$E16),EXACT(MID(box!$E16,1,LEN($A$2)),$A$2)),"",""""&amp;$A$2&amp;box!$A16&amp;"."&amp;box!$D16&amp;""": """&amp;box!$E16&amp;""",")</f>
        <v>"layout.box.header.OrgUnit.rpprojects": "OrgUnit's Researchers projects",</v>
      </c>
    </row>
    <row r="16" spans="1:2">
      <c r="B16" s="9" t="str">
        <f>IF(OR(ISBLANK(box!$E17),EXACT(MID(box!$E17,1,LEN($A$2)),$A$2)),"",""""&amp;$A$2&amp;box!$A17&amp;"."&amp;box!$D17&amp;""": """&amp;box!$E17&amp;""",")</f>
        <v>"layout.box.header.OrgUnit.publications": "OrgUnit's Publications",</v>
      </c>
    </row>
    <row r="17" spans="2:2">
      <c r="B17" s="9" t="str">
        <f>IF(OR(ISBLANK(box!$E18),EXACT(MID(box!$E18,1,LEN($A$2)),$A$2)),"",""""&amp;$A$2&amp;box!$A18&amp;"."&amp;box!$D18&amp;""": """&amp;box!$E18&amp;""",")</f>
        <v>"layout.box.header.OrgUnit.rppublications": "OrgUnit's Researchers publications",</v>
      </c>
    </row>
    <row r="18" spans="2:2">
      <c r="B18" s="9" t="str">
        <f>IF(OR(ISBLANK(box!$E19),EXACT(MID(box!$E19,1,LEN($A$2)),$A$2)),"",""""&amp;$A$2&amp;box!$A19&amp;"."&amp;box!$D19&amp;""": """&amp;box!$E19&amp;""",")</f>
        <v>"layout.box.header.OrgUnit.people": "OrgUnit's Researchers",</v>
      </c>
    </row>
    <row r="19" spans="2:2">
      <c r="B19" s="9" t="str">
        <f>IF(OR(ISBLANK(box!$E20),EXACT(MID(box!$E20,1,LEN($A$2)),$A$2)),"",""""&amp;$A$2&amp;box!$A20&amp;"."&amp;box!$D20&amp;""": """&amp;box!$E20&amp;""",")</f>
        <v>"layout.box.header.OrgUnit.projects": "OrgUnit funded Projects",</v>
      </c>
    </row>
    <row r="20" spans="2:2">
      <c r="B20" s="9" t="str">
        <f>IF(OR(ISBLANK(box!$E21),EXACT(MID(box!$E21,1,LEN($A$2)),$A$2)),"",""""&amp;$A$2&amp;box!$A21&amp;"."&amp;box!$D21&amp;""": """&amp;box!$E21&amp;""",")</f>
        <v/>
      </c>
    </row>
    <row r="21" spans="2:2">
      <c r="B21" s="9" t="str">
        <f>IF(OR(ISBLANK(box!$E22),EXACT(MID(box!$E22,1,LEN($A$2)),$A$2)),"",""""&amp;$A$2&amp;box!$A22&amp;"."&amp;box!$D22&amp;""": """&amp;box!$E22&amp;""",")</f>
        <v>"layout.box.header.OrgUnit.description": "Description",</v>
      </c>
    </row>
    <row r="22" spans="2:2">
      <c r="B22" s="9" t="str">
        <f>IF(OR(ISBLANK(box!$E23),EXACT(MID(box!$E23,1,LEN($A$2)),$A$2)),"",""""&amp;$A$2&amp;box!$A23&amp;"."&amp;box!$D23&amp;""": """&amp;box!$E23&amp;""",")</f>
        <v>"layout.box.header.OrgUnit.organizations": "SubOrgUnits",</v>
      </c>
    </row>
    <row r="23" spans="2:2">
      <c r="B23" s="9" t="str">
        <f>IF(OR(ISBLANK(box!$E24),EXACT(MID(box!$E24,1,LEN($A$2)),$A$2)),"",""""&amp;$A$2&amp;box!$A24&amp;"."&amp;box!$D24&amp;""": """&amp;box!$E24&amp;""",")</f>
        <v>"layout.box.header.OrgUnit.details": "Details",</v>
      </c>
    </row>
    <row r="24" spans="2:2">
      <c r="B24" s="9" t="str">
        <f>IF(OR(ISBLANK(box!$E25),EXACT(MID(box!$E25,1,LEN($A$2)),$A$2)),"",""""&amp;$A$2&amp;box!$A25&amp;"."&amp;box!$D25&amp;""": """&amp;box!$E25&amp;""",")</f>
        <v>"layout.box.header.OrgUnit.orgcard": "Card",</v>
      </c>
    </row>
    <row r="25" spans="2:2">
      <c r="B25" s="9" t="str">
        <f>IF(OR(ISBLANK(box!$E26),EXACT(MID(box!$E26,1,LEN($A$2)),$A$2)),"",""""&amp;$A$2&amp;box!$A26&amp;"."&amp;box!$D26&amp;""": """&amp;box!$E26&amp;""",")</f>
        <v>"layout.box.header.OrgUnit.metrics": "Metrics",</v>
      </c>
    </row>
    <row r="26" spans="2:2">
      <c r="B26" s="9" t="str">
        <f>IF(OR(ISBLANK(box!$E27),EXACT(MID(box!$E27,1,LEN($A$2)),$A$2)),"",""""&amp;$A$2&amp;box!$A27&amp;"."&amp;box!$D27&amp;""": """&amp;box!$E27&amp;""",")</f>
        <v>"layout.box.header.Project.description": "Description",</v>
      </c>
    </row>
    <row r="27" spans="2:2">
      <c r="B27" s="9" t="str">
        <f>IF(OR(ISBLANK(box!$E28),EXACT(MID(box!$E28,1,LEN($A$2)),$A$2)),"",""""&amp;$A$2&amp;box!$A28&amp;"."&amp;box!$D28&amp;""": """&amp;box!$E28&amp;""",")</f>
        <v>"layout.box.header.Project.researchoutputs": "Research Outputs",</v>
      </c>
    </row>
    <row r="28" spans="2:2">
      <c r="B28" s="9" t="str">
        <f>IF(OR(ISBLANK(box!$E29),EXACT(MID(box!$E29,1,LEN($A$2)),$A$2)),"",""""&amp;$A$2&amp;box!$A29&amp;"."&amp;box!$D29&amp;""": """&amp;box!$E29&amp;""",")</f>
        <v>"layout.box.header.Project.fundings": "Fundings",</v>
      </c>
    </row>
    <row r="29" spans="2:2">
      <c r="B29" s="9" t="str">
        <f>IF(OR(ISBLANK(box!$E30),EXACT(MID(box!$E30,1,LEN($A$2)),$A$2)),"",""""&amp;$A$2&amp;box!$A30&amp;"."&amp;box!$D30&amp;""": """&amp;box!$E30&amp;""",")</f>
        <v>"layout.box.header.Project.primarydata": "Primary Data",</v>
      </c>
    </row>
    <row r="30" spans="2:2">
      <c r="B30" s="9" t="str">
        <f>IF(OR(ISBLANK(box!$E31),EXACT(MID(box!$E31,1,LEN($A$2)),$A$2)),"",""""&amp;$A$2&amp;box!$A31&amp;"."&amp;box!$D31&amp;""": """&amp;box!$E31&amp;""",")</f>
        <v>"layout.box.header.Project.details": "Details",</v>
      </c>
    </row>
    <row r="31" spans="2:2">
      <c r="B31" s="9" t="str">
        <f>IF(OR(ISBLANK(box!$E32),EXACT(MID(box!$E32,1,LEN($A$2)),$A$2)),"",""""&amp;$A$2&amp;box!$A32&amp;"."&amp;box!$D32&amp;""": """&amp;box!$E32&amp;""",")</f>
        <v>"layout.box.header.Project.projectcard": "Project Card",</v>
      </c>
    </row>
    <row r="32" spans="2:2">
      <c r="B32" s="9" t="str">
        <f>IF(OR(ISBLANK(box!$E33),EXACT(MID(box!$E33,1,LEN($A$2)),$A$2)),"",""""&amp;$A$2&amp;box!$A33&amp;"."&amp;box!$D33&amp;""": """&amp;box!$E33&amp;""",")</f>
        <v>"layout.box.header.Project.metrics": "Metrics",</v>
      </c>
    </row>
    <row r="33" spans="2:2">
      <c r="B33" s="9" t="str">
        <f>IF(OR(ISBLANK(box!$E34),EXACT(MID(box!$E34,1,LEN($A$2)),$A$2)),"",""""&amp;$A$2&amp;box!$A34&amp;"."&amp;box!$D34&amp;""": """&amp;box!$E34&amp;""",")</f>
        <v>"layout.box.header.Funding.primarydata": "Primary Data",</v>
      </c>
    </row>
    <row r="34" spans="2:2">
      <c r="B34" s="9" t="str">
        <f>IF(OR(ISBLANK(box!$E35),EXACT(MID(box!$E35,1,LEN($A$2)),$A$2)),"",""""&amp;$A$2&amp;box!$A35&amp;"."&amp;box!$D35&amp;""": """&amp;box!$E35&amp;""",")</f>
        <v>"layout.box.header.Funding.researchoutputs": "Research Outputs",</v>
      </c>
    </row>
    <row r="35" spans="2:2">
      <c r="B35" s="9" t="str">
        <f>IF(OR(ISBLANK(box!$E36),EXACT(MID(box!$E36,1,LEN($A$2)),$A$2)),"",""""&amp;$A$2&amp;box!$A36&amp;"."&amp;box!$D36&amp;""": """&amp;box!$E36&amp;""",")</f>
        <v>"layout.box.header.Funding.financialdata": "Financial Data",</v>
      </c>
    </row>
    <row r="36" spans="2:2">
      <c r="B36" s="9" t="str">
        <f>IF(OR(ISBLANK(box!$E37),EXACT(MID(box!$E37,1,LEN($A$2)),$A$2)),"",""""&amp;$A$2&amp;box!$A37&amp;"."&amp;box!$D37&amp;""": """&amp;box!$E37&amp;""",")</f>
        <v>"layout.box.header.Funding.metrics": "Metrics",</v>
      </c>
    </row>
    <row r="37" spans="2:2">
      <c r="B37" s="9" t="str">
        <f>IF(OR(ISBLANK(box!$E38),EXACT(MID(box!$E38,1,LEN($A$2)),$A$2)),"",""""&amp;$A$2&amp;box!$A38&amp;"."&amp;box!$D38&amp;""": """&amp;box!$E38&amp;""",")</f>
        <v>"layout.box.header.Journal.details": "Journal description",</v>
      </c>
    </row>
    <row r="38" spans="2:2">
      <c r="B38" s="9" t="str">
        <f>IF(OR(ISBLANK(box!$E39),EXACT(MID(box!$E39,1,LEN($A$2)),$A$2)),"",""""&amp;$A$2&amp;box!$A39&amp;"."&amp;box!$D39&amp;""": """&amp;box!$E39&amp;""",")</f>
        <v>"layout.box.header.Journal.metrics": "Metrics",</v>
      </c>
    </row>
    <row r="39" spans="2:2">
      <c r="B39" s="9" t="str">
        <f>IF(OR(ISBLANK(box!$E40),EXACT(MID(box!$E40,1,LEN($A$2)),$A$2)),"",""""&amp;$A$2&amp;box!$A40&amp;"."&amp;box!$D40&amp;""": """&amp;box!$E40&amp;""",")</f>
        <v>"layout.box.header.Event.details": "Description",</v>
      </c>
    </row>
    <row r="40" spans="2:2">
      <c r="B40" s="9" t="str">
        <f>IF(OR(ISBLANK(box!$E41),EXACT(MID(box!$E41,1,LEN($A$2)),$A$2)),"",""""&amp;$A$2&amp;box!$A41&amp;"."&amp;box!$D41&amp;""": """&amp;box!$E41&amp;""",")</f>
        <v>"layout.box.header.Event.metrics": "Metrics",</v>
      </c>
    </row>
    <row r="41" spans="2:2">
      <c r="B41" s="9" t="str">
        <f>IF(OR(ISBLANK(box!$E42),EXACT(MID(box!$E42,1,LEN($A$2)),$A$2)),"",""""&amp;$A$2&amp;box!$A42&amp;"."&amp;box!$D42&amp;""": """&amp;box!$E42&amp;""",")</f>
        <v>"layout.box.header.Equipment.details": "Equipment description",</v>
      </c>
    </row>
    <row r="42" spans="2:2">
      <c r="B42" s="9" t="str">
        <f>IF(OR(ISBLANK(box!$E43),EXACT(MID(box!$E43,1,LEN($A$2)),$A$2)),"",""""&amp;$A$2&amp;box!$A43&amp;"."&amp;box!$D43&amp;""": """&amp;box!$E43&amp;""",")</f>
        <v>"layout.box.header.Equipment.metrics": "Metrics",</v>
      </c>
    </row>
    <row r="43" spans="2:2">
      <c r="B43" s="9" t="str">
        <f>IF(OR(ISBLANK(box!$E44),EXACT(MID(box!$E44,1,LEN($A$2)),$A$2)),"",""""&amp;$A$2&amp;box!$A44&amp;"."&amp;box!$D44&amp;""": """&amp;box!$E44&amp;""",")</f>
        <v/>
      </c>
    </row>
    <row r="44" spans="2:2">
      <c r="B44" s="9" t="str">
        <f>IF(OR(ISBLANK(box!$E45),EXACT(MID(box!$E45,1,LEN($A$2)),$A$2)),"",""""&amp;$A$2&amp;box!$A45&amp;"."&amp;box!$D45&amp;""": """&amp;box!$E45&amp;""",")</f>
        <v>"layout.box.header.Publication.details": "Details",</v>
      </c>
    </row>
    <row r="45" spans="2:2">
      <c r="B45" s="9" t="str">
        <f>IF(OR(ISBLANK(box!$E46),EXACT(MID(box!$E46,1,LEN($A$2)),$A$2)),"",""""&amp;$A$2&amp;box!$A46&amp;"."&amp;box!$D46&amp;""": """&amp;box!$E46&amp;""",")</f>
        <v>"layout.box.header.Publication.metrics": "Metrics",</v>
      </c>
    </row>
    <row r="46" spans="2:2">
      <c r="B46" s="9" t="str">
        <f>IF(OR(ISBLANK(box!$E47),EXACT(MID(box!$E47,1,LEN($A$2)),$A$2)),"",""""&amp;$A$2&amp;box!$A47&amp;"."&amp;box!$D47&amp;""": """&amp;box!$E47&amp;""",")</f>
        <v>"layout.box.header.Publication.altmetrics": "Alternative Metrics",</v>
      </c>
    </row>
    <row r="47" spans="2:2">
      <c r="B47" s="9" t="str">
        <f>IF(OR(ISBLANK(box!$E48),EXACT(MID(box!$E48,1,LEN($A$2)),$A$2)),"",""""&amp;$A$2&amp;box!$A48&amp;"."&amp;box!$D48&amp;""": """&amp;box!$E48&amp;""",")</f>
        <v>"layout.box.header.Publication.usagemetrics": "Usage Metrics",</v>
      </c>
    </row>
    <row r="48" spans="2:2">
      <c r="B48" s="9" t="str">
        <f>IF(OR(ISBLANK(box!$E50),EXACT(MID(box!$E50,1,LEN($A$2)),$A$2)),"",""""&amp;$A$2&amp;box!$A50&amp;"."&amp;box!$D50&amp;""": """&amp;box!$E50&amp;""",")</f>
        <v>"layout.box.header.Patent.details": "Details",</v>
      </c>
    </row>
    <row r="49" spans="2:2">
      <c r="B49" s="9" t="str">
        <f>IF(OR(ISBLANK(box!$E51),EXACT(MID(box!$E51,1,LEN($A$2)),$A$2)),"",""""&amp;$A$2&amp;box!$A51&amp;"."&amp;box!$D51&amp;""": """&amp;box!$E51&amp;""",")</f>
        <v>"layout.box.header.Patent.metrics": "Metrics",</v>
      </c>
    </row>
    <row r="50" spans="2:2">
      <c r="B50" s="9" t="str">
        <f>IF(OR(ISBLANK(box!$E52),EXACT(MID(box!$E52,1,LEN($A$2)),$A$2)),"",""""&amp;$A$2&amp;box!$A52&amp;"."&amp;box!$D52&amp;""": """&amp;box!$E52&amp;""",")</f>
        <v>"layout.box.header.Patent.altmetrics": "Metrics",</v>
      </c>
    </row>
    <row r="51" spans="2:2">
      <c r="B51" s="9" t="str">
        <f>IF(OR(ISBLANK(box!$E53),EXACT(MID(box!$E53,1,LEN($A$2)),$A$2)),"",""""&amp;$A$2&amp;box!$A53&amp;"."&amp;box!$D53&amp;""": """&amp;box!$E53&amp;""",")</f>
        <v>"layout.box.header.Patent.usagemetrics": "Metrics",</v>
      </c>
    </row>
    <row r="52" spans="2:2">
      <c r="B52" s="9" t="str">
        <f>IF(OR(ISBLANK(box!$E54),EXACT(MID(box!$E54,1,LEN($A$2)),$A$2)),"",""""&amp;$A$2&amp;box!$A54&amp;"."&amp;box!$D54&amp;""": """&amp;box!$E54&amp;""",")</f>
        <v>"layout.box.header.Product.details": "Details",</v>
      </c>
    </row>
    <row r="53" spans="2:2">
      <c r="B53" s="9" t="str">
        <f>IF(OR(ISBLANK(box!$E55),EXACT(MID(box!$E55,1,LEN($A$2)),$A$2)),"",""""&amp;$A$2&amp;box!$A55&amp;"."&amp;box!$D55&amp;""": """&amp;box!$E55&amp;""",")</f>
        <v>"layout.box.header.Product.metrics": "Metrics",</v>
      </c>
    </row>
    <row r="54" spans="2:2">
      <c r="B54" s="9" t="str">
        <f>IF(OR(ISBLANK(box!$E56),EXACT(MID(box!$E56,1,LEN($A$2)),$A$2)),"",""""&amp;$A$2&amp;box!$A56&amp;"."&amp;box!$D56&amp;""": """&amp;box!$E56&amp;""",")</f>
        <v>"layout.box.header.Product.altmetrics": "Metrics",</v>
      </c>
    </row>
    <row r="55" spans="2:2">
      <c r="B55" s="9" t="str">
        <f>IF(OR(ISBLANK(box!$E57),EXACT(MID(box!$E57,1,LEN($A$2)),$A$2)),"",""""&amp;$A$2&amp;box!$A57&amp;"."&amp;box!$D57&amp;""": """&amp;box!$E57&amp;""",")</f>
        <v>"layout.box.header.Product.usagemetrics": "Metrics",</v>
      </c>
    </row>
    <row r="56" spans="2:2">
      <c r="B56" s="9" t="str">
        <f>IF(OR(ISBLANK(box!$E58),EXACT(MID(box!$E58,1,LEN($A$2)),$A$2)),"",""""&amp;$A$2&amp;box!$A58&amp;"."&amp;box!$D58&amp;""": """&amp;box!$E58&amp;""",")</f>
        <v>"layout.box.header.Product.mainformation": "Main informations",</v>
      </c>
    </row>
    <row r="57" spans="2:2">
      <c r="B57" s="9" t="str">
        <f>IF(OR(ISBLANK(box!$E59),EXACT(MID(box!$E59,1,LEN($A$2)),$A$2)),"",""""&amp;$A$2&amp;box!$A59&amp;"."&amp;box!$D59&amp;""": """&amp;box!$E59&amp;""",")</f>
        <v>"layout.box.header.Product.references": "References",</v>
      </c>
    </row>
    <row r="58" spans="2:2">
      <c r="B58" s="9" t="str">
        <f>IF(OR(ISBLANK(box!$E60),EXACT(MID(box!$E60,1,LEN($A$2)),$A$2)),"",""""&amp;$A$2&amp;box!$A60&amp;"."&amp;box!$D60&amp;""": """&amp;box!$E60&amp;""",")</f>
        <v/>
      </c>
    </row>
    <row r="59" spans="2:2">
      <c r="B59" s="9" t="str">
        <f>IF(OR(ISBLANK(box!$E61),EXACT(MID(box!$E61,1,LEN($A$2)),$A$2)),"",""""&amp;$A$2&amp;box!$A61&amp;"."&amp;box!$D61&amp;""": """&amp;box!$E61&amp;""",")</f>
        <v/>
      </c>
    </row>
    <row r="60" spans="2:2">
      <c r="B60" s="9" t="str">
        <f>IF(OR(ISBLANK(box!$E62),EXACT(MID(box!$E62,1,LEN($A$2)),$A$2)),"",""""&amp;$A$2&amp;box!$A62&amp;"."&amp;box!$D62&amp;""": """&amp;box!$E62&amp;""",")</f>
        <v/>
      </c>
    </row>
    <row r="61" spans="2:2">
      <c r="B61" s="9" t="str">
        <f>IF(OR(ISBLANK(box!$E63),EXACT(MID(box!$E63,1,LEN($A$2)),$A$2)),"",""""&amp;$A$2&amp;box!$A63&amp;"."&amp;box!$D63&amp;""": """&amp;box!$E63&amp;""",")</f>
        <v/>
      </c>
    </row>
    <row r="62" spans="2:2">
      <c r="B62" s="9" t="str">
        <f>IF(OR(ISBLANK(box!$E64),EXACT(MID(box!$E64,1,LEN($A$2)),$A$2)),"",""""&amp;$A$2&amp;box!$A64&amp;"."&amp;box!$D64&amp;""": """&amp;box!$E64&amp;""",")</f>
        <v/>
      </c>
    </row>
    <row r="63" spans="2:2">
      <c r="B63" s="9" t="str">
        <f>IF(OR(ISBLANK(box!$E65),EXACT(MID(box!$E65,1,LEN($A$2)),$A$2)),"",""""&amp;$A$2&amp;box!$A65&amp;"."&amp;box!$D65&amp;""": """&amp;box!$E65&amp;""",")</f>
        <v/>
      </c>
    </row>
    <row r="64" spans="2:2">
      <c r="B64" s="9" t="str">
        <f>IF(OR(ISBLANK(box!$E66),EXACT(MID(box!$E66,1,LEN($A$2)),$A$2)),"",""""&amp;$A$2&amp;box!$A66&amp;"."&amp;box!$D66&amp;""": """&amp;box!$E66&amp;""",")</f>
        <v/>
      </c>
    </row>
    <row r="65" spans="2:2">
      <c r="B65" s="9" t="str">
        <f>IF(OR(ISBLANK(box!$E67),EXACT(MID(box!$E67,1,LEN($A$2)),$A$2)),"",""""&amp;$A$2&amp;box!$A67&amp;"."&amp;box!$D67&amp;""": """&amp;box!$E67&amp;""",")</f>
        <v/>
      </c>
    </row>
    <row r="66" spans="2:2">
      <c r="B66" s="9" t="str">
        <f>IF(OR(ISBLANK(box!$E68),EXACT(MID(box!$E68,1,LEN($A$2)),$A$2)),"",""""&amp;$A$2&amp;box!$A68&amp;"."&amp;box!$D68&amp;""": """&amp;box!$E68&amp;""",")</f>
        <v/>
      </c>
    </row>
    <row r="67" spans="2:2">
      <c r="B67" s="9" t="str">
        <f>IF(OR(ISBLANK(box!$E69),EXACT(MID(box!$E69,1,LEN($A$2)),$A$2)),"",""""&amp;$A$2&amp;box!$A69&amp;"."&amp;box!$D69&amp;""": """&amp;box!$E69&amp;""",")</f>
        <v/>
      </c>
    </row>
    <row r="68" spans="2:2">
      <c r="B68" s="9" t="str">
        <f>IF(OR(ISBLANK(box!$E70),EXACT(MID(box!$E70,1,LEN($A$2)),$A$2)),"",""""&amp;$A$2&amp;box!$A70&amp;"."&amp;box!$D70&amp;""": """&amp;box!$E70&amp;""",")</f>
        <v/>
      </c>
    </row>
    <row r="69" spans="2:2">
      <c r="B69" s="9" t="str">
        <f>IF(OR(ISBLANK(box!$E71),EXACT(MID(box!$E71,1,LEN($A$2)),$A$2)),"",""""&amp;$A$2&amp;box!$A71&amp;"."&amp;box!$D71&amp;""": """&amp;box!$E71&amp;""",")</f>
        <v/>
      </c>
    </row>
    <row r="70" spans="2:2">
      <c r="B70" s="9" t="str">
        <f>IF(OR(ISBLANK(box!$E72),EXACT(MID(box!$E72,1,LEN($A$2)),$A$2)),"",""""&amp;$A$2&amp;box!$A72&amp;"."&amp;box!$D72&amp;""": """&amp;box!$E72&amp;""",")</f>
        <v/>
      </c>
    </row>
    <row r="71" spans="2:2">
      <c r="B71" s="9" t="str">
        <f>IF(OR(ISBLANK(box!$E73),EXACT(MID(box!$E73,1,LEN($A$2)),$A$2)),"",""""&amp;$A$2&amp;box!$A73&amp;"."&amp;box!$D73&amp;""": """&amp;box!$E73&amp;""",")</f>
        <v/>
      </c>
    </row>
    <row r="72" spans="2:2">
      <c r="B72" s="9" t="str">
        <f>IF(OR(ISBLANK(box!$E74),EXACT(MID(box!$E74,1,LEN($A$2)),$A$2)),"",""""&amp;$A$2&amp;box!$A74&amp;"."&amp;box!$D74&amp;""": """&amp;box!$E74&amp;""",")</f>
        <v/>
      </c>
    </row>
    <row r="73" spans="2:2">
      <c r="B73" s="9" t="str">
        <f>IF(OR(ISBLANK(box!$E75),EXACT(MID(box!$E75,1,LEN($A$2)),$A$2)),"",""""&amp;$A$2&amp;box!$A75&amp;"."&amp;box!$D75&amp;""": """&amp;box!$E75&amp;""",")</f>
        <v/>
      </c>
    </row>
    <row r="74" spans="2:2">
      <c r="B74" s="9" t="str">
        <f>IF(OR(ISBLANK(box!$E76),EXACT(MID(box!$E76,1,LEN($A$2)),$A$2)),"",""""&amp;$A$2&amp;box!$A76&amp;"."&amp;box!$D76&amp;""": """&amp;box!$E76&amp;""",")</f>
        <v/>
      </c>
    </row>
    <row r="75" spans="2:2">
      <c r="B75" s="9" t="str">
        <f>IF(OR(ISBLANK(box!$E77),EXACT(MID(box!$E77,1,LEN($A$2)),$A$2)),"",""""&amp;$A$2&amp;box!$A77&amp;"."&amp;box!$D77&amp;""": """&amp;box!$E77&amp;""",")</f>
        <v/>
      </c>
    </row>
    <row r="76" spans="2:2">
      <c r="B76" s="9" t="str">
        <f>IF(OR(ISBLANK(box!$E78),EXACT(MID(box!$E78,1,LEN($A$2)),$A$2)),"",""""&amp;$A$2&amp;box!$A78&amp;"."&amp;box!$D78&amp;""": """&amp;box!$E78&amp;""",")</f>
        <v/>
      </c>
    </row>
    <row r="77" spans="2:2">
      <c r="B77" s="9" t="str">
        <f>IF(OR(ISBLANK(box!$E79),EXACT(MID(box!$E79,1,LEN($A$2)),$A$2)),"",""""&amp;$A$2&amp;box!$A79&amp;"."&amp;box!$D79&amp;""": """&amp;box!$E79&amp;""",")</f>
        <v/>
      </c>
    </row>
    <row r="78" spans="2:2">
      <c r="B78" s="9" t="str">
        <f>IF(OR(ISBLANK(box!$E80),EXACT(MID(box!$E80,1,LEN($A$2)),$A$2)),"",""""&amp;$A$2&amp;box!$A80&amp;"."&amp;box!$D80&amp;""": """&amp;box!$E80&amp;""",")</f>
        <v/>
      </c>
    </row>
    <row r="79" spans="2:2">
      <c r="B79" s="9" t="str">
        <f>IF(OR(ISBLANK(box!$E81),EXACT(MID(box!$E81,1,LEN($A$2)),$A$2)),"",""""&amp;$A$2&amp;box!$A81&amp;"."&amp;box!$D81&amp;""": """&amp;box!$E81&amp;""",")</f>
        <v/>
      </c>
    </row>
    <row r="80" spans="2:2">
      <c r="B80" s="9" t="str">
        <f>IF(OR(ISBLANK(box!$E82),EXACT(MID(box!$E82,1,LEN($A$2)),$A$2)),"",""""&amp;$A$2&amp;box!$A82&amp;"."&amp;box!$D82&amp;""": """&amp;box!$E82&amp;""",")</f>
        <v/>
      </c>
    </row>
    <row r="81" spans="2:2">
      <c r="B81" s="9" t="str">
        <f>IF(OR(ISBLANK(box!$E83),EXACT(MID(box!$E83,1,LEN($A$2)),$A$2)),"",""""&amp;$A$2&amp;box!$A83&amp;"."&amp;box!$D83&amp;""": """&amp;box!$E83&amp;""",")</f>
        <v/>
      </c>
    </row>
    <row r="82" spans="2:2">
      <c r="B82" s="9" t="str">
        <f>IF(OR(ISBLANK(box!$E84),EXACT(MID(box!$E84,1,LEN($A$2)),$A$2)),"",""""&amp;$A$2&amp;box!$A84&amp;"."&amp;box!$D84&amp;""": """&amp;box!$E84&amp;""",")</f>
        <v/>
      </c>
    </row>
    <row r="83" spans="2:2">
      <c r="B83" s="9" t="str">
        <f>IF(OR(ISBLANK(box!$E85),EXACT(MID(box!$E85,1,LEN($A$2)),$A$2)),"",""""&amp;$A$2&amp;box!$A85&amp;"."&amp;box!$D85&amp;""": """&amp;box!$E85&amp;""",")</f>
        <v/>
      </c>
    </row>
    <row r="84" spans="2:2">
      <c r="B84" s="9" t="str">
        <f>IF(OR(ISBLANK(box!$E86),EXACT(MID(box!$E86,1,LEN($A$2)),$A$2)),"",""""&amp;$A$2&amp;box!$A86&amp;"."&amp;box!$D86&amp;""": """&amp;box!$E86&amp;""",")</f>
        <v/>
      </c>
    </row>
    <row r="85" spans="2:2">
      <c r="B85" s="9" t="str">
        <f>IF(OR(ISBLANK(box!$E87),EXACT(MID(box!$E87,1,LEN($A$2)),$A$2)),"",""""&amp;$A$2&amp;box!$A87&amp;"."&amp;box!$D87&amp;""": """&amp;box!$E87&amp;""",")</f>
        <v/>
      </c>
    </row>
    <row r="86" spans="2:2">
      <c r="B86" s="9" t="str">
        <f>IF(OR(ISBLANK(box!$E88),EXACT(MID(box!$E88,1,LEN($A$2)),$A$2)),"",""""&amp;$A$2&amp;box!$A88&amp;"."&amp;box!$D88&amp;""": """&amp;box!$E88&amp;""",")</f>
        <v/>
      </c>
    </row>
    <row r="87" spans="2:2">
      <c r="B87" s="9" t="str">
        <f>IF(OR(ISBLANK(box!$E89),EXACT(MID(box!$E89,1,LEN($A$2)),$A$2)),"",""""&amp;$A$2&amp;box!$A89&amp;"."&amp;box!$D89&amp;""": """&amp;box!$E89&amp;""",")</f>
        <v/>
      </c>
    </row>
    <row r="88" spans="2:2">
      <c r="B88" s="9" t="str">
        <f>IF(OR(ISBLANK(box!$E90),EXACT(MID(box!$E90,1,LEN($A$2)),$A$2)),"",""""&amp;$A$2&amp;box!$A90&amp;"."&amp;box!$D90&amp;""": """&amp;box!$E90&amp;""",")</f>
        <v/>
      </c>
    </row>
    <row r="89" spans="2:2">
      <c r="B89" s="9" t="str">
        <f>IF(OR(ISBLANK(box!$E91),EXACT(MID(box!$E91,1,LEN($A$2)),$A$2)),"",""""&amp;$A$2&amp;box!$A91&amp;"."&amp;box!$D91&amp;""": """&amp;box!$E91&amp;""",")</f>
        <v/>
      </c>
    </row>
    <row r="90" spans="2:2">
      <c r="B90" s="9" t="str">
        <f>IF(OR(ISBLANK(box!$E92),EXACT(MID(box!$E92,1,LEN($A$2)),$A$2)),"",""""&amp;$A$2&amp;box!$A92&amp;"."&amp;box!$D92&amp;""": """&amp;box!$E92&amp;""",")</f>
        <v/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60"/>
  <sheetViews>
    <sheetView zoomScale="120" zoomScaleNormal="120" workbookViewId="0">
      <pane ySplit="1" topLeftCell="A2" activePane="bottomLeft" state="frozen"/>
      <selection pane="bottomLeft"/>
    </sheetView>
  </sheetViews>
  <sheetFormatPr defaultColWidth="11.42578125" defaultRowHeight="12.75"/>
  <cols>
    <col min="1" max="1" width="15.7109375" customWidth="1"/>
    <col min="2" max="2" width="96" customWidth="1"/>
  </cols>
  <sheetData>
    <row r="1" spans="1:2">
      <c r="A1" s="1" t="s">
        <v>407</v>
      </c>
      <c r="B1" s="8" t="s">
        <v>408</v>
      </c>
    </row>
    <row r="2" spans="1:2">
      <c r="A2" t="s">
        <v>412</v>
      </c>
      <c r="B2" s="9" t="str">
        <f>IF(ISBLANK(box2metadata!$I2),"",""""&amp;$A$2&amp;box2metadata!$A2&amp;"."&amp;IF(ISBLANK(box2metadata!$F2),box2metadata!$E2,box2metadata!$F2)&amp;""": """&amp;box2metadata!$I2&amp;""",")</f>
        <v>"layout.field.label.OrgUnit.organization.address.addressCountry": "Country",</v>
      </c>
    </row>
    <row r="3" spans="1:2">
      <c r="B3" s="9" t="str">
        <f>IF(ISBLANK(box2metadata!$I3),"",""""&amp;$A$2&amp;box2metadata!$A3&amp;"."&amp;IF(ISBLANK(box2metadata!$F3),box2metadata!$E3,box2metadata!$F3)&amp;""": """&amp;box2metadata!$I3&amp;""",")</f>
        <v>"layout.field.label.OrgUnit.organization.address.addressLocality": "City",</v>
      </c>
    </row>
    <row r="4" spans="1:2">
      <c r="B4" s="9" t="str">
        <f>IF(ISBLANK(box2metadata!$I4),"",""""&amp;$A$2&amp;box2metadata!$A4&amp;"."&amp;IF(ISBLANK(box2metadata!$F4),box2metadata!$E4,box2metadata!$F4)&amp;""": """&amp;box2metadata!$I4&amp;""",")</f>
        <v>"layout.field.label.OrgUnit.dc.description.abstract": "Description",</v>
      </c>
    </row>
    <row r="5" spans="1:2">
      <c r="B5" s="9" t="str">
        <f>IF(ISBLANK(box2metadata!$I5),"",""""&amp;$A$2&amp;box2metadata!$A5&amp;"."&amp;IF(ISBLANK(box2metadata!$F5),box2metadata!$E5,box2metadata!$F5)&amp;""": """&amp;box2metadata!$I5&amp;""",")</f>
        <v/>
      </c>
    </row>
    <row r="6" spans="1:2">
      <c r="B6" s="9" t="str">
        <f>IF(ISBLANK(box2metadata!$I6),"",""""&amp;$A$2&amp;box2metadata!$A6&amp;"."&amp;IF(ISBLANK(box2metadata!$F6),box2metadata!$E6,box2metadata!$F6)&amp;""": """&amp;box2metadata!$I6&amp;""",")</f>
        <v/>
      </c>
    </row>
    <row r="7" spans="1:2">
      <c r="B7" s="9" t="str">
        <f>IF(ISBLANK(box2metadata!$I7),"",""""&amp;$A$2&amp;box2metadata!$A7&amp;"."&amp;IF(ISBLANK(box2metadata!$F7),box2metadata!$E7,box2metadata!$F7)&amp;""": """&amp;box2metadata!$I7&amp;""",")</f>
        <v>"layout.field.label.OrgUnit.crisou.director": "Director",</v>
      </c>
    </row>
    <row r="8" spans="1:2">
      <c r="B8" s="9" t="str">
        <f>IF(ISBLANK(box2metadata!$I8),"",""""&amp;$A$2&amp;box2metadata!$A8&amp;"."&amp;IF(ISBLANK(box2metadata!$F8),box2metadata!$E8,box2metadata!$F8)&amp;""": """&amp;box2metadata!$I8&amp;""",")</f>
        <v>"layout.field.label.OrgUnit.organization.parentOrganization": "Parent Organisation",</v>
      </c>
    </row>
    <row r="9" spans="1:2">
      <c r="B9" s="9" t="str">
        <f>IF(ISBLANK(box2metadata!$I9),"",""""&amp;$A$2&amp;box2metadata!$A9&amp;"."&amp;IF(ISBLANK(box2metadata!$F9),box2metadata!$E9,box2metadata!$F9)&amp;""": """&amp;box2metadata!$I9&amp;""",")</f>
        <v>"layout.field.label.OrgUnit.organization.foundingDate": "Founding Date",</v>
      </c>
    </row>
    <row r="10" spans="1:2">
      <c r="B10" s="9" t="str">
        <f>IF(ISBLANK(box2metadata!$I10),"",""""&amp;$A$2&amp;box2metadata!$A10&amp;"."&amp;IF(ISBLANK(box2metadata!$F10),box2metadata!$E10,box2metadata!$F10)&amp;""": """&amp;box2metadata!$I10&amp;""",")</f>
        <v>"layout.field.label.OrgUnit.crisou.boards": "Boards",</v>
      </c>
    </row>
    <row r="11" spans="1:2">
      <c r="B11" s="9" t="str">
        <f>IF(ISBLANK(box2metadata!$I11),"",""""&amp;$A$2&amp;box2metadata!$A11&amp;"."&amp;IF(ISBLANK(box2metadata!$F11),box2metadata!$E11,box2metadata!$F11)&amp;""": """&amp;box2metadata!$I11&amp;""",")</f>
        <v/>
      </c>
    </row>
    <row r="12" spans="1:2">
      <c r="B12" s="9" t="str">
        <f>IF(ISBLANK(box2metadata!$I12),"",""""&amp;$A$2&amp;box2metadata!$A12&amp;"."&amp;IF(ISBLANK(box2metadata!$F12),box2metadata!$E12,box2metadata!$F12)&amp;""": """&amp;box2metadata!$I12&amp;""",")</f>
        <v>"layout.field.label.OrgUnit.dc.title": "Organisation Name",</v>
      </c>
    </row>
    <row r="13" spans="1:2">
      <c r="B13" s="9" t="str">
        <f>IF(ISBLANK(box2metadata!$I13),"",""""&amp;$A$2&amp;box2metadata!$A13&amp;"."&amp;IF(ISBLANK(box2metadata!$F13),box2metadata!$E13,box2metadata!$F13)&amp;""": """&amp;box2metadata!$I13&amp;""",")</f>
        <v>"layout.field.label.OrgUnit.crisou.director": "Director",</v>
      </c>
    </row>
    <row r="14" spans="1:2">
      <c r="B14" s="9" t="str">
        <f>IF(ISBLANK(box2metadata!$I14),"",""""&amp;$A$2&amp;box2metadata!$A14&amp;"."&amp;IF(ISBLANK(box2metadata!$F14),box2metadata!$E14,box2metadata!$F14)&amp;""": """&amp;box2metadata!$I14&amp;""",")</f>
        <v>"layout.field.label.OrgUnit.organization.parentOrganization": "Parent Organisation",</v>
      </c>
    </row>
    <row r="15" spans="1:2">
      <c r="B15" s="9" t="str">
        <f>IF(ISBLANK(box2metadata!$I15),"",""""&amp;$A$2&amp;box2metadata!$A15&amp;"."&amp;IF(ISBLANK(box2metadata!$F15),box2metadata!$E15,box2metadata!$F15)&amp;""": """&amp;box2metadata!$I15&amp;""",")</f>
        <v>"layout.field.label.OrgUnit.organization.foundingDate": "Founding Date",</v>
      </c>
    </row>
    <row r="16" spans="1:2">
      <c r="B16" s="9" t="str">
        <f>IF(ISBLANK(box2metadata!$I16),"",""""&amp;$A$2&amp;box2metadata!$A16&amp;"."&amp;IF(ISBLANK(box2metadata!$F16),box2metadata!$E16,box2metadata!$F16)&amp;""": """&amp;box2metadata!$I16&amp;""",")</f>
        <v>"layout.field.label.OrgUnit.organization.address.addressLocality": "City",</v>
      </c>
    </row>
    <row r="17" spans="2:2">
      <c r="B17" s="9" t="str">
        <f>IF(ISBLANK(box2metadata!$I17),"",""""&amp;$A$2&amp;box2metadata!$A17&amp;"."&amp;IF(ISBLANK(box2metadata!$F17),box2metadata!$E17,box2metadata!$F17)&amp;""": """&amp;box2metadata!$I17&amp;""",")</f>
        <v>"layout.field.label.OrgUnit.organization.address.addressCountry": "Country",</v>
      </c>
    </row>
    <row r="18" spans="2:2">
      <c r="B18" s="9" t="str">
        <f>IF(ISBLANK(box2metadata!$I18),"",""""&amp;$A$2&amp;box2metadata!$A18&amp;"."&amp;IF(ISBLANK(box2metadata!$F18),box2metadata!$E18,box2metadata!$F18)&amp;""": """&amp;box2metadata!$I18&amp;""",")</f>
        <v>"layout.field.label.Project.dc.description.abstract": "Description",</v>
      </c>
    </row>
    <row r="19" spans="2:2">
      <c r="B19" s="9" t="str">
        <f>IF(ISBLANK(box2metadata!$I19),"",""""&amp;$A$2&amp;box2metadata!$A19&amp;"."&amp;IF(ISBLANK(box2metadata!$F19),box2metadata!$E19,box2metadata!$F19)&amp;""": """&amp;box2metadata!$I19&amp;""",")</f>
        <v>"layout.field.label.Project.dc.subject": "Keywords",</v>
      </c>
    </row>
    <row r="20" spans="2:2">
      <c r="B20" s="9" t="str">
        <f>IF(ISBLANK(box2metadata!$I20),"",""""&amp;$A$2&amp;box2metadata!$A20&amp;"."&amp;IF(ISBLANK(box2metadata!$F20),box2metadata!$E20,box2metadata!$F20)&amp;""": """&amp;box2metadata!$I20&amp;""",")</f>
        <v/>
      </c>
    </row>
    <row r="21" spans="2:2">
      <c r="B21" s="9" t="str">
        <f>IF(ISBLANK(box2metadata!$I21),"",""""&amp;$A$2&amp;box2metadata!$A21&amp;"."&amp;IF(ISBLANK(box2metadata!$F21),box2metadata!$E21,box2metadata!$F21)&amp;""": """&amp;box2metadata!$I21&amp;""",")</f>
        <v>"layout.field.label.Project.oairecerif.acronym": "Acronym",</v>
      </c>
    </row>
    <row r="22" spans="2:2">
      <c r="B22" s="9" t="str">
        <f>IF(ISBLANK(box2metadata!$I22),"",""""&amp;$A$2&amp;box2metadata!$A22&amp;"."&amp;IF(ISBLANK(box2metadata!$F22),box2metadata!$E22,box2metadata!$F22)&amp;""": """&amp;box2metadata!$I22&amp;""",")</f>
        <v>"layout.field.label.Project.dc.title": "Project Title",</v>
      </c>
    </row>
    <row r="23" spans="2:2">
      <c r="B23" s="9" t="str">
        <f>IF(ISBLANK(box2metadata!$I23),"",""""&amp;$A$2&amp;box2metadata!$A23&amp;"."&amp;IF(ISBLANK(box2metadata!$F23),box2metadata!$E23,box2metadata!$F23)&amp;""": """&amp;box2metadata!$I23&amp;""",")</f>
        <v>"layout.field.label.Project.crispj.coordinator": "Consortium Coordinator",</v>
      </c>
    </row>
    <row r="24" spans="2:2">
      <c r="B24" s="9" t="str">
        <f>IF(ISBLANK(box2metadata!$I24),"",""""&amp;$A$2&amp;box2metadata!$A24&amp;"."&amp;IF(ISBLANK(box2metadata!$F24),box2metadata!$E24,box2metadata!$F24)&amp;""": """&amp;box2metadata!$I24&amp;""",")</f>
        <v>"layout.field.label.Project.crispj.partnerou": "Partner Organisations",</v>
      </c>
    </row>
    <row r="25" spans="2:2">
      <c r="B25" s="9" t="str">
        <f>IF(ISBLANK(box2metadata!$I25),"",""""&amp;$A$2&amp;box2metadata!$A25&amp;"."&amp;IF(ISBLANK(box2metadata!$F25),box2metadata!$E25,box2metadata!$F25)&amp;""": """&amp;box2metadata!$I25&amp;""",")</f>
        <v>"layout.field.label.Project.oairecerif.internalid": "Internal ID",</v>
      </c>
    </row>
    <row r="26" spans="2:2">
      <c r="B26" s="9" t="str">
        <f>IF(ISBLANK(box2metadata!$I26),"",""""&amp;$A$2&amp;box2metadata!$A26&amp;"."&amp;IF(ISBLANK(box2metadata!$F26),box2metadata!$E26,box2metadata!$F26)&amp;""": """&amp;box2metadata!$I26&amp;""",")</f>
        <v>"layout.field.label.Project.oairecerif.project.status": "Status",</v>
      </c>
    </row>
    <row r="27" spans="2:2">
      <c r="B27" s="9" t="str">
        <f>IF(ISBLANK(box2metadata!$I27),"",""""&amp;$A$2&amp;box2metadata!$A27&amp;"."&amp;IF(ISBLANK(box2metadata!$F27),box2metadata!$E27,box2metadata!$F27)&amp;""": """&amp;box2metadata!$I27&amp;""",")</f>
        <v>"layout.field.label.Project.oairecerif.project.startDate": "Start Date",</v>
      </c>
    </row>
    <row r="28" spans="2:2">
      <c r="B28" s="9" t="str">
        <f>IF(ISBLANK(box2metadata!$I28),"",""""&amp;$A$2&amp;box2metadata!$A28&amp;"."&amp;IF(ISBLANK(box2metadata!$F28),box2metadata!$E28,box2metadata!$F28)&amp;""": """&amp;box2metadata!$I28&amp;""",")</f>
        <v>"layout.field.label.Project.oairecerif.project.endDate": "End Date",</v>
      </c>
    </row>
    <row r="29" spans="2:2">
      <c r="B29" s="9" t="str">
        <f>IF(ISBLANK(box2metadata!$I29),"",""""&amp;$A$2&amp;box2metadata!$A29&amp;"."&amp;IF(ISBLANK(box2metadata!$F29),box2metadata!$E29,box2metadata!$F29)&amp;""": """&amp;box2metadata!$I29&amp;""",")</f>
        <v>"layout.field.label.Project.crispj.investigator": "Principal Investigator",</v>
      </c>
    </row>
    <row r="30" spans="2:2">
      <c r="B30" s="9" t="str">
        <f>IF(ISBLANK(box2metadata!$I30),"",""""&amp;$A$2&amp;box2metadata!$A30&amp;"."&amp;IF(ISBLANK(box2metadata!$F30),box2metadata!$E30,box2metadata!$F30)&amp;""": """&amp;box2metadata!$I30&amp;""",")</f>
        <v>"layout.field.label.Project.crispj.coinvestigators": "Investigators",</v>
      </c>
    </row>
    <row r="31" spans="2:2">
      <c r="B31" s="9" t="str">
        <f>IF(ISBLANK(box2metadata!$I31),"",""""&amp;$A$2&amp;box2metadata!$A31&amp;"."&amp;IF(ISBLANK(box2metadata!$F31),box2metadata!$E31,box2metadata!$F31)&amp;""": """&amp;box2metadata!$I31&amp;""",")</f>
        <v>"layout.field.label.Project.crispj.organization": "Organisations",</v>
      </c>
    </row>
    <row r="32" spans="2:2">
      <c r="B32" s="9" t="str">
        <f>IF(ISBLANK(box2metadata!$I32),"",""""&amp;$A$2&amp;box2metadata!$A32&amp;"."&amp;IF(ISBLANK(box2metadata!$F32),box2metadata!$E32,box2metadata!$F32)&amp;""": """&amp;box2metadata!$I32&amp;""",")</f>
        <v>"layout.field.label.Project.dc.relation.equipment": "Uses",</v>
      </c>
    </row>
    <row r="33" spans="2:2">
      <c r="B33" s="9" t="str">
        <f>IF(ISBLANK(box2metadata!$I33),"",""""&amp;$A$2&amp;box2metadata!$A33&amp;"."&amp;IF(ISBLANK(box2metadata!$F33),box2metadata!$E33,box2metadata!$F33)&amp;""": """&amp;box2metadata!$I33&amp;""",")</f>
        <v>"layout.field.label.Project.oairecerif.identifier.url": "Project Web Site",</v>
      </c>
    </row>
    <row r="34" spans="2:2">
      <c r="B34" s="9" t="str">
        <f>IF(ISBLANK(box2metadata!$I34),"",""""&amp;$A$2&amp;box2metadata!$A34&amp;"."&amp;IF(ISBLANK(box2metadata!$F34),box2metadata!$E34,box2metadata!$F34)&amp;""": """&amp;box2metadata!$I34&amp;""",")</f>
        <v>"layout.field.label.Project.crispj.openaireid": "OpenAIRE ID",</v>
      </c>
    </row>
    <row r="35" spans="2:2">
      <c r="B35" s="9" t="str">
        <f>IF(ISBLANK(box2metadata!$I35),"",""""&amp;$A$2&amp;box2metadata!$A35&amp;"."&amp;IF(ISBLANK(box2metadata!$F35),box2metadata!$E35,box2metadata!$F35)&amp;""": """&amp;box2metadata!$I35&amp;""",")</f>
        <v/>
      </c>
    </row>
    <row r="36" spans="2:2">
      <c r="B36" s="9" t="str">
        <f>IF(ISBLANK(box2metadata!$I36),"",""""&amp;$A$2&amp;box2metadata!$A36&amp;"."&amp;IF(ISBLANK(box2metadata!$F36),box2metadata!$E36,box2metadata!$F36)&amp;""": """&amp;box2metadata!$I36&amp;""",")</f>
        <v>"layout.field.label.Project.dc.title": "Project Title",</v>
      </c>
    </row>
    <row r="37" spans="2:2">
      <c r="B37" s="9" t="str">
        <f>IF(ISBLANK(box2metadata!$I37),"",""""&amp;$A$2&amp;box2metadata!$A37&amp;"."&amp;IF(ISBLANK(box2metadata!$F37),box2metadata!$E37,box2metadata!$F37)&amp;""": """&amp;box2metadata!$I37&amp;""",")</f>
        <v>"layout.field.label.Project.oairecerif.internalid": "Internal ID",</v>
      </c>
    </row>
    <row r="38" spans="2:2">
      <c r="B38" s="9" t="str">
        <f>IF(ISBLANK(box2metadata!$I38),"",""""&amp;$A$2&amp;box2metadata!$A38&amp;"."&amp;IF(ISBLANK(box2metadata!$F38),box2metadata!$E38,box2metadata!$F38)&amp;""": """&amp;box2metadata!$I38&amp;""",")</f>
        <v>"layout.field.label.Project.oairecerif.project.status": "Status",</v>
      </c>
    </row>
    <row r="39" spans="2:2">
      <c r="B39" s="9" t="str">
        <f>IF(ISBLANK(box2metadata!$I39),"",""""&amp;$A$2&amp;box2metadata!$A39&amp;"."&amp;IF(ISBLANK(box2metadata!$F39),box2metadata!$E39,box2metadata!$F39)&amp;""": """&amp;box2metadata!$I39&amp;""",")</f>
        <v>"layout.field.label.Project.oairecerif.project.startDate": "Start Date",</v>
      </c>
    </row>
    <row r="40" spans="2:2">
      <c r="B40" s="9" t="str">
        <f>IF(ISBLANK(box2metadata!$I40),"",""""&amp;$A$2&amp;box2metadata!$A40&amp;"."&amp;IF(ISBLANK(box2metadata!$F40),box2metadata!$E40,box2metadata!$F40)&amp;""": """&amp;box2metadata!$I40&amp;""",")</f>
        <v>"layout.field.label.Project.oairecerif.project.endDate": "End Date",</v>
      </c>
    </row>
    <row r="41" spans="2:2">
      <c r="B41" s="9" t="str">
        <f>IF(ISBLANK(box2metadata!$I41),"",""""&amp;$A$2&amp;box2metadata!$A41&amp;"."&amp;IF(ISBLANK(box2metadata!$F41),box2metadata!$E41,box2metadata!$F41)&amp;""": """&amp;box2metadata!$I41&amp;""",")</f>
        <v>"layout.field.label.Funding.dc.relation.project": "Project",</v>
      </c>
    </row>
    <row r="42" spans="2:2">
      <c r="B42" s="9" t="str">
        <f>IF(ISBLANK(box2metadata!$I42),"",""""&amp;$A$2&amp;box2metadata!$A42&amp;"."&amp;IF(ISBLANK(box2metadata!$F42),box2metadata!$E42,box2metadata!$F42)&amp;""": """&amp;box2metadata!$I42&amp;""",")</f>
        <v>"layout.field.label.Funding.dc.type": "Type",</v>
      </c>
    </row>
    <row r="43" spans="2:2">
      <c r="B43" s="9" t="str">
        <f>IF(ISBLANK(box2metadata!$I43),"",""""&amp;$A$2&amp;box2metadata!$A43&amp;"."&amp;IF(ISBLANK(box2metadata!$F43),box2metadata!$E43,box2metadata!$F43)&amp;""": """&amp;box2metadata!$I43&amp;""",")</f>
        <v>"layout.field.label.Funding.oairecerif.funder": "Funder",</v>
      </c>
    </row>
    <row r="44" spans="2:2">
      <c r="B44" s="9" t="str">
        <f>IF(ISBLANK(box2metadata!$I44),"",""""&amp;$A$2&amp;box2metadata!$A44&amp;"."&amp;IF(ISBLANK(box2metadata!$F44),box2metadata!$E44,box2metadata!$F44)&amp;""": """&amp;box2metadata!$I44&amp;""",")</f>
        <v>"layout.field.label.Funding.oairecerif.fundingParent": "Funding Program",</v>
      </c>
    </row>
    <row r="45" spans="2:2">
      <c r="B45" s="9" t="str">
        <f>IF(ISBLANK(box2metadata!$I45),"",""""&amp;$A$2&amp;box2metadata!$A45&amp;"."&amp;IF(ISBLANK(box2metadata!$F45),box2metadata!$E45,box2metadata!$F45)&amp;""": """&amp;box2metadata!$I45&amp;""",")</f>
        <v>"layout.field.label.Funding.oairecerif.identifier.url": "Award URL",</v>
      </c>
    </row>
    <row r="46" spans="2:2">
      <c r="B46" s="9" t="str">
        <f>IF(ISBLANK(box2metadata!$I46),"",""""&amp;$A$2&amp;box2metadata!$A46&amp;"."&amp;IF(ISBLANK(box2metadata!$F46),box2metadata!$E46,box2metadata!$F46)&amp;""": """&amp;box2metadata!$I46&amp;""",")</f>
        <v>"layout.field.label.Funding.oairecerif.oamandate": "OA Mandate",</v>
      </c>
    </row>
    <row r="47" spans="2:2">
      <c r="B47" s="9" t="str">
        <f>IF(ISBLANK(box2metadata!$I47),"",""""&amp;$A$2&amp;box2metadata!$A47&amp;"."&amp;IF(ISBLANK(box2metadata!$F47),box2metadata!$E47,box2metadata!$F47)&amp;""": """&amp;box2metadata!$I47&amp;""",")</f>
        <v>"layout.field.label.Funding.oairecerif.internalid": "Funding code",</v>
      </c>
    </row>
    <row r="48" spans="2:2">
      <c r="B48" s="9" t="str">
        <f>IF(ISBLANK(box2metadata!$I48),"",""""&amp;$A$2&amp;box2metadata!$A48&amp;"."&amp;IF(ISBLANK(box2metadata!$F48),box2metadata!$E48,box2metadata!$F48)&amp;""": """&amp;box2metadata!$I48&amp;""",")</f>
        <v>"layout.field.label.Funding.oairecerif.amount": "Amount",</v>
      </c>
    </row>
    <row r="49" spans="2:2">
      <c r="B49" s="9" t="str">
        <f>IF(ISBLANK(box2metadata!$I49),"",""""&amp;$A$2&amp;box2metadata!$A49&amp;"."&amp;IF(ISBLANK(box2metadata!$F49),box2metadata!$E49,box2metadata!$F49)&amp;""": """&amp;box2metadata!$I49&amp;""",")</f>
        <v>"layout.field.label.Funding.oairecerif.amount.currency": "Currency",</v>
      </c>
    </row>
    <row r="50" spans="2:2">
      <c r="B50" s="9" t="str">
        <f>IF(ISBLANK(box2metadata!$I50),"",""""&amp;$A$2&amp;box2metadata!$A50&amp;"."&amp;IF(ISBLANK(box2metadata!$F50),box2metadata!$E50,box2metadata!$F50)&amp;""": """&amp;box2metadata!$I50&amp;""",")</f>
        <v>"layout.field.label.Person.dc.subject": "Research Interests",</v>
      </c>
    </row>
    <row r="51" spans="2:2">
      <c r="B51" s="9" t="str">
        <f>IF(ISBLANK(box2metadata!$I51),"",""""&amp;$A$2&amp;box2metadata!$A51&amp;"."&amp;IF(ISBLANK(box2metadata!$F51),box2metadata!$E51,box2metadata!$F51)&amp;""": """&amp;box2metadata!$I51&amp;""",")</f>
        <v>"layout.field.label.Person.person.knowsLanguage": "Knows Language",</v>
      </c>
    </row>
    <row r="52" spans="2:2">
      <c r="B52" s="9" t="str">
        <f>IF(ISBLANK(box2metadata!$I52),"",""""&amp;$A$2&amp;box2metadata!$A52&amp;"."&amp;IF(ISBLANK(box2metadata!$F52),box2metadata!$E52,box2metadata!$F52)&amp;""": """&amp;box2metadata!$I52&amp;""",")</f>
        <v>"layout.field.label.Person.crisrp.qualification": "Qualification",</v>
      </c>
    </row>
    <row r="53" spans="2:2">
      <c r="B53" s="9" t="str">
        <f>IF(ISBLANK(box2metadata!$I53),"",""""&amp;$A$2&amp;box2metadata!$A53&amp;"."&amp;IF(ISBLANK(box2metadata!$F53),box2metadata!$E53,box2metadata!$F53)&amp;""": """&amp;box2metadata!$I53&amp;""",")</f>
        <v/>
      </c>
    </row>
    <row r="54" spans="2:2">
      <c r="B54" s="9" t="str">
        <f>IF(ISBLANK(box2metadata!$I54),"",""""&amp;$A$2&amp;box2metadata!$A54&amp;"."&amp;IF(ISBLANK(box2metadata!$F54),box2metadata!$E54,box2metadata!$F54)&amp;""": """&amp;box2metadata!$I54&amp;""",")</f>
        <v/>
      </c>
    </row>
    <row r="55" spans="2:2">
      <c r="B55" s="9" t="str">
        <f>IF(ISBLANK(box2metadata!$I55),"",""""&amp;$A$2&amp;box2metadata!$A55&amp;"."&amp;IF(ISBLANK(box2metadata!$F55),box2metadata!$E55,box2metadata!$F55)&amp;""": """&amp;box2metadata!$I55&amp;""",")</f>
        <v>"layout.field.label.Person.dc.title": "Preferred name",</v>
      </c>
    </row>
    <row r="56" spans="2:2">
      <c r="B56" s="9" t="str">
        <f>IF(ISBLANK(box2metadata!$I56),"",""""&amp;$A$2&amp;box2metadata!$A56&amp;"."&amp;IF(ISBLANK(box2metadata!$F56),box2metadata!$E56,box2metadata!$F56)&amp;""": """&amp;box2metadata!$I56&amp;""",")</f>
        <v>"layout.field.label.Person.crisrp.name": "Official Name",</v>
      </c>
    </row>
    <row r="57" spans="2:2">
      <c r="B57" s="9" t="str">
        <f>IF(ISBLANK(box2metadata!$I57),"",""""&amp;$A$2&amp;box2metadata!$A57&amp;"."&amp;IF(ISBLANK(box2metadata!$F57),box2metadata!$E57,box2metadata!$F57)&amp;""": """&amp;box2metadata!$I57&amp;""",")</f>
        <v>"layout.field.label.Person.crisrp.name.translated": "Translated Name",</v>
      </c>
    </row>
    <row r="58" spans="2:2">
      <c r="B58" s="9" t="str">
        <f>IF(ISBLANK(box2metadata!$I58),"",""""&amp;$A$2&amp;box2metadata!$A58&amp;"."&amp;IF(ISBLANK(box2metadata!$F58),box2metadata!$E58,box2metadata!$F58)&amp;""": """&amp;box2metadata!$I58&amp;""",")</f>
        <v>"layout.field.label.Person.crisrp.name.variant": "Alternative Name",</v>
      </c>
    </row>
    <row r="59" spans="2:2">
      <c r="B59" s="9" t="str">
        <f>IF(ISBLANK(box2metadata!$I59),"",""""&amp;$A$2&amp;box2metadata!$A59&amp;"."&amp;IF(ISBLANK(box2metadata!$F59),box2metadata!$E59,box2metadata!$F59)&amp;""": """&amp;box2metadata!$I59&amp;""",")</f>
        <v>"layout.field.label.Person.person.affiliation.name": "Main Affiliation",</v>
      </c>
    </row>
    <row r="60" spans="2:2">
      <c r="B60" s="9" t="str">
        <f>IF(ISBLANK(box2metadata!$I60),"",""""&amp;$A$2&amp;box2metadata!$A60&amp;"."&amp;IF(ISBLANK(box2metadata!$F60),box2metadata!$E60,box2metadata!$F60)&amp;""": """&amp;box2metadata!$I60&amp;""",")</f>
        <v/>
      </c>
    </row>
    <row r="61" spans="2:2">
      <c r="B61" s="9" t="str">
        <f>IF(ISBLANK(box2metadata!$I61),"",""""&amp;$A$2&amp;box2metadata!$A61&amp;"."&amp;IF(ISBLANK(box2metadata!$F61),box2metadata!$E61,box2metadata!$F61)&amp;""": """&amp;box2metadata!$I61&amp;""",")</f>
        <v>"layout.field.label.Person.oairecerif.identifier.url": "Web Site",</v>
      </c>
    </row>
    <row r="62" spans="2:2">
      <c r="B62" s="9" t="str">
        <f>IF(ISBLANK(box2metadata!$I62),"",""""&amp;$A$2&amp;box2metadata!$A62&amp;"."&amp;IF(ISBLANK(box2metadata!$F62),box2metadata!$E62,box2metadata!$F62)&amp;""": """&amp;box2metadata!$I62&amp;""",")</f>
        <v>"layout.field.label.Person.person.email": "Email",</v>
      </c>
    </row>
    <row r="63" spans="2:2">
      <c r="B63" s="9" t="str">
        <f>IF(ISBLANK(box2metadata!$I63),"",""""&amp;$A$2&amp;box2metadata!$A63&amp;"."&amp;IF(ISBLANK(box2metadata!$F63),box2metadata!$E63,box2metadata!$F63)&amp;""": """&amp;box2metadata!$I63&amp;""",")</f>
        <v>"layout.field.label.Person.person.identifier.orcid": "ORCID",</v>
      </c>
    </row>
    <row r="64" spans="2:2">
      <c r="B64" s="9" t="str">
        <f>IF(ISBLANK(box2metadata!$I64),"",""""&amp;$A$2&amp;box2metadata!$A64&amp;"."&amp;IF(ISBLANK(box2metadata!$F64),box2metadata!$E64,box2metadata!$F64)&amp;""": """&amp;box2metadata!$I64&amp;""",")</f>
        <v>"layout.field.label.Person.person.identifier.scopus-author-id": "Scopus Author ID",</v>
      </c>
    </row>
    <row r="65" spans="2:2">
      <c r="B65" s="9" t="str">
        <f>IF(ISBLANK(box2metadata!$I65),"",""""&amp;$A$2&amp;box2metadata!$A65&amp;"."&amp;IF(ISBLANK(box2metadata!$F65),box2metadata!$E65,box2metadata!$F65)&amp;""": """&amp;box2metadata!$I65&amp;""",")</f>
        <v>"layout.field.label.Person.person.identifier.rid": "Researcher ID",</v>
      </c>
    </row>
    <row r="66" spans="2:2">
      <c r="B66" s="9" t="str">
        <f>IF(ISBLANK(box2metadata!$I66),"",""""&amp;$A$2&amp;box2metadata!$A66&amp;"."&amp;IF(ISBLANK(box2metadata!$F66),box2metadata!$E66,box2metadata!$F66)&amp;""": """&amp;box2metadata!$I66&amp;""",")</f>
        <v>"layout.field.label.Person.dc.description.abstract": "Biography",</v>
      </c>
    </row>
    <row r="67" spans="2:2">
      <c r="B67" s="9" t="str">
        <f>IF(ISBLANK(box2metadata!$I67),"",""""&amp;$A$2&amp;box2metadata!$A67&amp;"."&amp;IF(ISBLANK(box2metadata!$F67),box2metadata!$E67,box2metadata!$F67)&amp;""": """&amp;box2metadata!$I67&amp;""",")</f>
        <v>"layout.field.label.Person.oairecerif.person.affiliation": "Affiliation",</v>
      </c>
    </row>
    <row r="68" spans="2:2">
      <c r="B68" s="9" t="str">
        <f>IF(ISBLANK(box2metadata!$I68),"",""""&amp;$A$2&amp;box2metadata!$A68&amp;"."&amp;IF(ISBLANK(box2metadata!$F68),box2metadata!$E68,box2metadata!$F68)&amp;""": """&amp;box2metadata!$I68&amp;""",")</f>
        <v>"layout.field.label.Person.crisrp.education": "Education",</v>
      </c>
    </row>
    <row r="69" spans="2:2">
      <c r="B69" s="9" t="str">
        <f>IF(ISBLANK(box2metadata!$I69),"",""""&amp;$A$2&amp;box2metadata!$A69&amp;"."&amp;IF(ISBLANK(box2metadata!$F69),box2metadata!$E69,box2metadata!$F69)&amp;""": """&amp;box2metadata!$I69&amp;""",")</f>
        <v>"layout.field.label.Person.crisrp.qualification": "Qualification",</v>
      </c>
    </row>
    <row r="70" spans="2:2">
      <c r="B70" s="9" t="str">
        <f>IF(ISBLANK(box2metadata!$I70),"",""""&amp;$A$2&amp;box2metadata!$A70&amp;"."&amp;IF(ISBLANK(box2metadata!$F70),box2metadata!$E70,box2metadata!$F70)&amp;""": """&amp;box2metadata!$I70&amp;""",")</f>
        <v>"layout.field.label.Person.crisrp.country": "Country",</v>
      </c>
    </row>
    <row r="71" spans="2:2">
      <c r="B71" s="9" t="str">
        <f>IF(ISBLANK(box2metadata!$I71),"",""""&amp;$A$2&amp;box2metadata!$A71&amp;"."&amp;IF(ISBLANK(box2metadata!$F71),box2metadata!$E71,box2metadata!$F71)&amp;""": """&amp;box2metadata!$I71&amp;""",")</f>
        <v/>
      </c>
    </row>
    <row r="72" spans="2:2">
      <c r="B72" s="9" t="str">
        <f>IF(ISBLANK(box2metadata!$I72),"",""""&amp;$A$2&amp;box2metadata!$A72&amp;"."&amp;IF(ISBLANK(box2metadata!$F72),box2metadata!$E72,box2metadata!$F72)&amp;""": """&amp;box2metadata!$I72&amp;""",")</f>
        <v>"layout.field.label.Person.person.birthDate": "Birth Date",</v>
      </c>
    </row>
    <row r="73" spans="2:2">
      <c r="B73" s="9" t="str">
        <f>IF(ISBLANK(box2metadata!$I73),"",""""&amp;$A$2&amp;box2metadata!$A73&amp;"."&amp;IF(ISBLANK(box2metadata!$F73),box2metadata!$E73,box2metadata!$F73)&amp;""": """&amp;box2metadata!$I73&amp;""",")</f>
        <v/>
      </c>
    </row>
    <row r="74" spans="2:2">
      <c r="B74" s="9" t="str">
        <f>IF(ISBLANK(box2metadata!$I74),"",""""&amp;$A$2&amp;box2metadata!$A74&amp;"."&amp;IF(ISBLANK(box2metadata!$F74),box2metadata!$E74,box2metadata!$F74)&amp;""": """&amp;box2metadata!$I74&amp;""",")</f>
        <v>"layout.field.label.Journal.dc.title": "Journal Title",</v>
      </c>
    </row>
    <row r="75" spans="2:2">
      <c r="B75" s="9" t="str">
        <f>IF(ISBLANK(box2metadata!$I75),"",""""&amp;$A$2&amp;box2metadata!$A75&amp;"."&amp;IF(ISBLANK(box2metadata!$F75),box2metadata!$E75,box2metadata!$F75)&amp;""": """&amp;box2metadata!$I75&amp;""",")</f>
        <v>"layout.field.label.Journal.dc.subject": "Keywords",</v>
      </c>
    </row>
    <row r="76" spans="2:2">
      <c r="B76" s="9" t="str">
        <f>IF(ISBLANK(box2metadata!$I76),"",""""&amp;$A$2&amp;box2metadata!$A76&amp;"."&amp;IF(ISBLANK(box2metadata!$F76),box2metadata!$E76,box2metadata!$F76)&amp;""": """&amp;box2metadata!$I76&amp;""",")</f>
        <v>"layout.field.label.Journal.dc.identifier.issn": "ISSN",</v>
      </c>
    </row>
    <row r="77" spans="2:2">
      <c r="B77" s="9" t="str">
        <f>IF(ISBLANK(box2metadata!$I77),"",""""&amp;$A$2&amp;box2metadata!$A77&amp;"."&amp;IF(ISBLANK(box2metadata!$F77),box2metadata!$E77,box2metadata!$F77)&amp;""": """&amp;box2metadata!$I77&amp;""",")</f>
        <v/>
      </c>
    </row>
    <row r="78" spans="2:2">
      <c r="B78" s="9" t="str">
        <f>IF(ISBLANK(box2metadata!$I78),"",""""&amp;$A$2&amp;box2metadata!$A78&amp;"."&amp;IF(ISBLANK(box2metadata!$F78),box2metadata!$E78,box2metadata!$F78)&amp;""": """&amp;box2metadata!$I78&amp;""",")</f>
        <v>"layout.field.label.Event.dc.title": "Title",</v>
      </c>
    </row>
    <row r="79" spans="2:2">
      <c r="B79" s="9" t="str">
        <f>IF(ISBLANK(box2metadata!$I79),"",""""&amp;$A$2&amp;box2metadata!$A79&amp;"."&amp;IF(ISBLANK(box2metadata!$F79),box2metadata!$E79,box2metadata!$F79)&amp;""": """&amp;box2metadata!$I79&amp;""",")</f>
        <v>"layout.field.label.Event.oairecerif.event.startDate": "Start Date",</v>
      </c>
    </row>
    <row r="80" spans="2:2">
      <c r="B80" s="9" t="str">
        <f>IF(ISBLANK(box2metadata!$I80),"",""""&amp;$A$2&amp;box2metadata!$A80&amp;"."&amp;IF(ISBLANK(box2metadata!$F80),box2metadata!$E80,box2metadata!$F80)&amp;""": """&amp;box2metadata!$I80&amp;""",")</f>
        <v>"layout.field.label.Event.oairecerif.event.endDate": "End Date",</v>
      </c>
    </row>
    <row r="81" spans="2:2">
      <c r="B81" s="9" t="str">
        <f>IF(ISBLANK(box2metadata!$I81),"",""""&amp;$A$2&amp;box2metadata!$A81&amp;"."&amp;IF(ISBLANK(box2metadata!$F81),box2metadata!$E81,box2metadata!$F81)&amp;""": """&amp;box2metadata!$I81&amp;""",")</f>
        <v>"layout.field.label.Event.oairecerif.event.place": "Location",</v>
      </c>
    </row>
    <row r="82" spans="2:2">
      <c r="B82" s="9" t="str">
        <f>IF(ISBLANK(box2metadata!$I82),"",""""&amp;$A$2&amp;box2metadata!$A82&amp;"."&amp;IF(ISBLANK(box2metadata!$F82),box2metadata!$E82,box2metadata!$F82)&amp;""": """&amp;box2metadata!$I82&amp;""",")</f>
        <v>"layout.field.label.Event.dc.type": "Type",</v>
      </c>
    </row>
    <row r="83" spans="2:2">
      <c r="B83" s="9" t="str">
        <f>IF(ISBLANK(box2metadata!$I83),"",""""&amp;$A$2&amp;box2metadata!$A83&amp;"."&amp;IF(ISBLANK(box2metadata!$F83),box2metadata!$E83,box2metadata!$F83)&amp;""": """&amp;box2metadata!$I83&amp;""",")</f>
        <v>"layout.field.label.Event.crisevent.organizerou": "Organizer",</v>
      </c>
    </row>
    <row r="84" spans="2:2">
      <c r="B84" s="9" t="str">
        <f>IF(ISBLANK(box2metadata!$I84),"",""""&amp;$A$2&amp;box2metadata!$A84&amp;"."&amp;IF(ISBLANK(box2metadata!$F84),box2metadata!$E84,box2metadata!$F84)&amp;""": """&amp;box2metadata!$I84&amp;""",")</f>
        <v>"layout.field.label.Event.crisevent.organizerpj": "Organizer",</v>
      </c>
    </row>
    <row r="85" spans="2:2">
      <c r="B85" s="9" t="str">
        <f>IF(ISBLANK(box2metadata!$I85),"",""""&amp;$A$2&amp;box2metadata!$A85&amp;"."&amp;IF(ISBLANK(box2metadata!$F85),box2metadata!$E85,box2metadata!$F85)&amp;""": """&amp;box2metadata!$I85&amp;""",")</f>
        <v>"layout.field.label.Event.crisevent.sponsorou": "Sponsor",</v>
      </c>
    </row>
    <row r="86" spans="2:2">
      <c r="B86" s="9" t="str">
        <f>IF(ISBLANK(box2metadata!$I86),"",""""&amp;$A$2&amp;box2metadata!$A86&amp;"."&amp;IF(ISBLANK(box2metadata!$F86),box2metadata!$E86,box2metadata!$F86)&amp;""": """&amp;box2metadata!$I86&amp;""",")</f>
        <v>"layout.field.label.Event.crisevent.sponsorpj": "Sponsor",</v>
      </c>
    </row>
    <row r="87" spans="2:2">
      <c r="B87" s="9" t="str">
        <f>IF(ISBLANK(box2metadata!$I87),"",""""&amp;$A$2&amp;box2metadata!$A87&amp;"."&amp;IF(ISBLANK(box2metadata!$F87),box2metadata!$E87,box2metadata!$F87)&amp;""": """&amp;box2metadata!$I87&amp;""",")</f>
        <v>"layout.field.label.Event.crisevent.partnerou": "Partner Organisation",</v>
      </c>
    </row>
    <row r="88" spans="2:2">
      <c r="B88" s="9" t="str">
        <f>IF(ISBLANK(box2metadata!$I88),"",""""&amp;$A$2&amp;box2metadata!$A88&amp;"."&amp;IF(ISBLANK(box2metadata!$F88),box2metadata!$E88,box2metadata!$F88)&amp;""": """&amp;box2metadata!$I88&amp;""",")</f>
        <v>"layout.field.label.Event.crisevent.partnerpj": "Partner Project",</v>
      </c>
    </row>
    <row r="89" spans="2:2">
      <c r="B89" s="9" t="str">
        <f>IF(ISBLANK(box2metadata!$I89),"",""""&amp;$A$2&amp;box2metadata!$A89&amp;"."&amp;IF(ISBLANK(box2metadata!$F89),box2metadata!$E89,box2metadata!$F89)&amp;""": """&amp;box2metadata!$I89&amp;""",")</f>
        <v>"layout.field.label.Event.oairecerif.acronym": "Acronym",</v>
      </c>
    </row>
    <row r="90" spans="2:2">
      <c r="B90" s="9" t="str">
        <f>IF(ISBLANK(box2metadata!$I90),"",""""&amp;$A$2&amp;box2metadata!$A90&amp;"."&amp;IF(ISBLANK(box2metadata!$F90),box2metadata!$E90,box2metadata!$F90)&amp;""": """&amp;box2metadata!$I90&amp;""",")</f>
        <v>"layout.field.label.Event.dc.description.abstract": "Abstract",</v>
      </c>
    </row>
    <row r="91" spans="2:2">
      <c r="B91" s="9" t="str">
        <f>IF(ISBLANK(box2metadata!$I91),"",""""&amp;$A$2&amp;box2metadata!$A91&amp;"."&amp;IF(ISBLANK(box2metadata!$F91),box2metadata!$E91,box2metadata!$F91)&amp;""": """&amp;box2metadata!$I91&amp;""",")</f>
        <v>"layout.field.label.Event.dc.subject": "Keywords",</v>
      </c>
    </row>
    <row r="92" spans="2:2">
      <c r="B92" s="9" t="str">
        <f>IF(ISBLANK(box2metadata!$I92),"",""""&amp;$A$2&amp;box2metadata!$A92&amp;"."&amp;IF(ISBLANK(box2metadata!$F92),box2metadata!$E92,box2metadata!$F92)&amp;""": """&amp;box2metadata!$I92&amp;""",")</f>
        <v>"layout.field.label.Event.oairecerif.event.country": "Country",</v>
      </c>
    </row>
    <row r="93" spans="2:2">
      <c r="B93" s="9" t="str">
        <f>IF(ISBLANK(box2metadata!$I93),"",""""&amp;$A$2&amp;box2metadata!$A93&amp;"."&amp;IF(ISBLANK(box2metadata!$F93),box2metadata!$E93,box2metadata!$F93)&amp;""": """&amp;box2metadata!$I93&amp;""",")</f>
        <v>"layout.field.label.Equipment.oairecerif.acronym": "Acronym",</v>
      </c>
    </row>
    <row r="94" spans="2:2">
      <c r="B94" s="9" t="str">
        <f>IF(ISBLANK(box2metadata!$I94),"",""""&amp;$A$2&amp;box2metadata!$A94&amp;"."&amp;IF(ISBLANK(box2metadata!$F94),box2metadata!$E94,box2metadata!$F94)&amp;""": """&amp;box2metadata!$I94&amp;""",")</f>
        <v>"layout.field.label.Equipment.dc.description": "Description",</v>
      </c>
    </row>
    <row r="95" spans="2:2">
      <c r="B95" s="9" t="str">
        <f>IF(ISBLANK(box2metadata!$I95),"",""""&amp;$A$2&amp;box2metadata!$A95&amp;"."&amp;IF(ISBLANK(box2metadata!$F95),box2metadata!$E95,box2metadata!$F95)&amp;""": """&amp;box2metadata!$I95&amp;""",")</f>
        <v>"layout.field.label.Equipment.oairecerif.internalid": "Internal ID",</v>
      </c>
    </row>
    <row r="96" spans="2:2">
      <c r="B96" s="9" t="str">
        <f>IF(ISBLANK(box2metadata!$I96),"",""""&amp;$A$2&amp;box2metadata!$A96&amp;"."&amp;IF(ISBLANK(box2metadata!$F96),box2metadata!$E96,box2metadata!$F96)&amp;""": """&amp;box2metadata!$I96&amp;""",")</f>
        <v>"layout.field.label.Equipment.dc.title": "Name",</v>
      </c>
    </row>
    <row r="97" spans="2:2">
      <c r="B97" s="9" t="str">
        <f>IF(ISBLANK(box2metadata!$I97),"",""""&amp;$A$2&amp;box2metadata!$A97&amp;"."&amp;IF(ISBLANK(box2metadata!$F97),box2metadata!$E97,box2metadata!$F97)&amp;""": """&amp;box2metadata!$I97&amp;""",")</f>
        <v>"layout.field.label.Equipment.crisequipment.ownerou": "Owner Organisation",</v>
      </c>
    </row>
    <row r="98" spans="2:2">
      <c r="B98" s="9" t="str">
        <f>IF(ISBLANK(box2metadata!$I98),"",""""&amp;$A$2&amp;box2metadata!$A98&amp;"."&amp;IF(ISBLANK(box2metadata!$F98),box2metadata!$E98,box2metadata!$F98)&amp;""": """&amp;box2metadata!$I98&amp;""",")</f>
        <v/>
      </c>
    </row>
    <row r="99" spans="2:2">
      <c r="B99" s="9" t="str">
        <f>IF(ISBLANK(box2metadata!$I99),"",""""&amp;$A$2&amp;box2metadata!$A99&amp;"."&amp;IF(ISBLANK(box2metadata!$F99),box2metadata!$E99,box2metadata!$F99)&amp;""": """&amp;box2metadata!$I99&amp;""",")</f>
        <v>"layout.field.label.Publication.dc.relation.ispartof": "Journal",</v>
      </c>
    </row>
    <row r="100" spans="2:2">
      <c r="B100" s="9" t="str">
        <f>IF(ISBLANK(box2metadata!$I100),"",""""&amp;$A$2&amp;box2metadata!$A100&amp;"."&amp;IF(ISBLANK(box2metadata!$F100),box2metadata!$E100,box2metadata!$F100)&amp;""": """&amp;box2metadata!$I100&amp;""",")</f>
        <v>"layout.field.label.Publication.dc.relation.issn": "ISSN",</v>
      </c>
    </row>
    <row r="101" spans="2:2">
      <c r="B101" s="9" t="str">
        <f>IF(ISBLANK(box2metadata!$I101),"",""""&amp;$A$2&amp;box2metadata!$A101&amp;"."&amp;IF(ISBLANK(box2metadata!$F101),box2metadata!$E101,box2metadata!$F101)&amp;""": """&amp;box2metadata!$I101&amp;""",")</f>
        <v>"layout.field.label.Publication.dc.date.issued": "Date Issued",</v>
      </c>
    </row>
    <row r="102" spans="2:2">
      <c r="B102" s="9" t="str">
        <f>IF(ISBLANK(box2metadata!$I102),"",""""&amp;$A$2&amp;box2metadata!$A102&amp;"."&amp;IF(ISBLANK(box2metadata!$F102),box2metadata!$E102,box2metadata!$F102)&amp;""": """&amp;box2metadata!$I102&amp;""",")</f>
        <v>"layout.field.label.Publication.dc.contributor.author": "Author(s)",</v>
      </c>
    </row>
    <row r="103" spans="2:2">
      <c r="B103" s="9" t="str">
        <f>IF(ISBLANK(box2metadata!$I103),"",""""&amp;$A$2&amp;box2metadata!$A103&amp;"."&amp;IF(ISBLANK(box2metadata!$F103),box2metadata!$E103,box2metadata!$F103)&amp;""": """&amp;box2metadata!$I103&amp;""",")</f>
        <v>"layout.field.label.Publication.dc.contributor.editor": "Editor(s)",</v>
      </c>
    </row>
    <row r="104" spans="2:2">
      <c r="B104" s="9" t="str">
        <f>IF(ISBLANK(box2metadata!$I104),"",""""&amp;$A$2&amp;box2metadata!$A104&amp;"."&amp;IF(ISBLANK(box2metadata!$F104),box2metadata!$E104,box2metadata!$F104)&amp;""": """&amp;box2metadata!$I104&amp;""",")</f>
        <v>"layout.field.label.Publication.dc.identifier.doi": "DOI",</v>
      </c>
    </row>
    <row r="105" spans="2:2">
      <c r="B105" s="9" t="str">
        <f>IF(ISBLANK(box2metadata!$I105),"",""""&amp;$A$2&amp;box2metadata!$A105&amp;"."&amp;IF(ISBLANK(box2metadata!$F105),box2metadata!$E105,box2metadata!$F105)&amp;""": """&amp;box2metadata!$I105&amp;""",")</f>
        <v>"layout.field.label.Publication.dc.description.abstract": "Abstract",</v>
      </c>
    </row>
    <row r="106" spans="2:2">
      <c r="B106" s="9" t="str">
        <f>IF(ISBLANK(box2metadata!$I106),"",""""&amp;$A$2&amp;box2metadata!$A106&amp;"."&amp;IF(ISBLANK(box2metadata!$F106),box2metadata!$E106,box2metadata!$F106)&amp;""": """&amp;box2metadata!$I106&amp;""",")</f>
        <v>"layout.field.label.Publication.dc.relation.project": "Project(s)",</v>
      </c>
    </row>
    <row r="107" spans="2:2">
      <c r="B107" s="9" t="str">
        <f>IF(ISBLANK(box2metadata!$I107),"",""""&amp;$A$2&amp;box2metadata!$A107&amp;"."&amp;IF(ISBLANK(box2metadata!$F107),box2metadata!$E107,box2metadata!$F107)&amp;""": """&amp;box2metadata!$I107&amp;""",")</f>
        <v>"layout.field.label.Publication.dc.relation.funding": "Funding(s)",</v>
      </c>
    </row>
    <row r="108" spans="2:2">
      <c r="B108" s="9" t="str">
        <f>IF(ISBLANK(box2metadata!$I108),"",""""&amp;$A$2&amp;box2metadata!$A108&amp;"."&amp;IF(ISBLANK(box2metadata!$F108),box2metadata!$E108,box2metadata!$F108)&amp;""": """&amp;box2metadata!$I108&amp;""",")</f>
        <v>"layout.field.label.Publication.dc.relation.product": "Uses the dataset(s)",</v>
      </c>
    </row>
    <row r="109" spans="2:2">
      <c r="B109" s="9" t="str">
        <f>IF(ISBLANK(box2metadata!$I109),"",""""&amp;$A$2&amp;box2metadata!$A109&amp;"."&amp;IF(ISBLANK(box2metadata!$F109),box2metadata!$E109,box2metadata!$F109)&amp;""": """&amp;box2metadata!$I109&amp;""",")</f>
        <v>"layout.field.label.Publication.dc.subject": "Subjects",</v>
      </c>
    </row>
    <row r="110" spans="2:2">
      <c r="B110" s="9" t="str">
        <f>IF(ISBLANK(box2metadata!$I110),"",""""&amp;$A$2&amp;box2metadata!$A110&amp;"."&amp;IF(ISBLANK(box2metadata!$F110),box2metadata!$E110,box2metadata!$F110)&amp;""": """&amp;box2metadata!$I110&amp;""",")</f>
        <v>"layout.field.label.Publication.BITSTREAM": "File(s)",</v>
      </c>
    </row>
    <row r="111" spans="2:2">
      <c r="B111" s="9" t="str">
        <f>IF(ISBLANK(box2metadata!$I111),"",""""&amp;$A$2&amp;box2metadata!$A111&amp;"."&amp;IF(ISBLANK(box2metadata!$F111),box2metadata!$E111,box2metadata!$F111)&amp;""": """&amp;box2metadata!$I111&amp;""",")</f>
        <v>"layout.field.label.Product.dc.title": "Title",</v>
      </c>
    </row>
    <row r="112" spans="2:2">
      <c r="B112" s="9" t="str">
        <f>IF(ISBLANK(box2metadata!$I112),"",""""&amp;$A$2&amp;box2metadata!$A112&amp;"."&amp;IF(ISBLANK(box2metadata!$F112),box2metadata!$E112,box2metadata!$F112)&amp;""": """&amp;box2metadata!$I112&amp;""",")</f>
        <v>"layout.field.label.Product.dc.relation.ispartof": "Journal",</v>
      </c>
    </row>
    <row r="113" spans="2:2">
      <c r="B113" s="9" t="str">
        <f>IF(ISBLANK(box2metadata!$I113),"",""""&amp;$A$2&amp;box2metadata!$A113&amp;"."&amp;IF(ISBLANK(box2metadata!$F113),box2metadata!$E113,box2metadata!$F113)&amp;""": """&amp;box2metadata!$I113&amp;""",")</f>
        <v>"layout.field.label.Product.dc.relation.issn": "ISSN",</v>
      </c>
    </row>
    <row r="114" spans="2:2">
      <c r="B114" s="9" t="str">
        <f>IF(ISBLANK(box2metadata!$I114),"",""""&amp;$A$2&amp;box2metadata!$A114&amp;"."&amp;IF(ISBLANK(box2metadata!$F114),box2metadata!$E114,box2metadata!$F114)&amp;""": """&amp;box2metadata!$I114&amp;""",")</f>
        <v>"layout.field.label.Product.dc.date.issued": "Date Issued",</v>
      </c>
    </row>
    <row r="115" spans="2:2">
      <c r="B115" s="9" t="str">
        <f>IF(ISBLANK(box2metadata!$I115),"",""""&amp;$A$2&amp;box2metadata!$A115&amp;"."&amp;IF(ISBLANK(box2metadata!$F115),box2metadata!$E115,box2metadata!$F115)&amp;""": """&amp;box2metadata!$I115&amp;""",")</f>
        <v>"layout.field.label.Product.dc.contributor.author": "Author(s)",</v>
      </c>
    </row>
    <row r="116" spans="2:2">
      <c r="B116" s="9" t="str">
        <f>IF(ISBLANK(box2metadata!$I116),"",""""&amp;$A$2&amp;box2metadata!$A116&amp;"."&amp;IF(ISBLANK(box2metadata!$F116),box2metadata!$E116,box2metadata!$F116)&amp;""": """&amp;box2metadata!$I116&amp;""",")</f>
        <v>"layout.field.label.Product.dc.identifier.doi": "DOI",</v>
      </c>
    </row>
    <row r="117" spans="2:2">
      <c r="B117" s="9" t="str">
        <f>IF(ISBLANK(box2metadata!$I117),"",""""&amp;$A$2&amp;box2metadata!$A117&amp;"."&amp;IF(ISBLANK(box2metadata!$F117),box2metadata!$E117,box2metadata!$F117)&amp;""": """&amp;box2metadata!$I117&amp;""",")</f>
        <v>"layout.field.label.Product.BITSTREAM": "File(s)",</v>
      </c>
    </row>
    <row r="118" spans="2:2">
      <c r="B118" s="9" t="str">
        <f>IF(ISBLANK(box2metadata!$I118),"",""""&amp;$A$2&amp;box2metadata!$A118&amp;"."&amp;IF(ISBLANK(box2metadata!$F118),box2metadata!$E118,box2metadata!$F118)&amp;""": """&amp;box2metadata!$I118&amp;""",")</f>
        <v>"layout.field.label.Product.dc.subject": "Subjects",</v>
      </c>
    </row>
    <row r="119" spans="2:2">
      <c r="B119" s="9" t="str">
        <f>IF(ISBLANK(box2metadata!$I119),"",""""&amp;$A$2&amp;box2metadata!$A119&amp;"."&amp;IF(ISBLANK(box2metadata!$F119),box2metadata!$E119,box2metadata!$F119)&amp;""": """&amp;box2metadata!$I119&amp;""",")</f>
        <v>"layout.field.label.Product.datacite.subject.fos": "Field of Science",</v>
      </c>
    </row>
    <row r="120" spans="2:2">
      <c r="B120" s="9" t="str">
        <f>IF(ISBLANK(box2metadata!$I120),"",""""&amp;$A$2&amp;box2metadata!$A120&amp;"."&amp;IF(ISBLANK(box2metadata!$F120),box2metadata!$E120,box2metadata!$F120)&amp;""": """&amp;box2metadata!$I120&amp;""",")</f>
        <v>"layout.field.label.Product.dc.description.abstract": "Abstract",</v>
      </c>
    </row>
    <row r="121" spans="2:2">
      <c r="B121" s="9" t="str">
        <f>IF(ISBLANK(box2metadata!$I121),"",""""&amp;$A$2&amp;box2metadata!$A121&amp;"."&amp;IF(ISBLANK(box2metadata!$F121),box2metadata!$E121,box2metadata!$F121)&amp;""": """&amp;box2metadata!$I121&amp;""",")</f>
        <v>"layout.field.label.Product.dc.relation.project": "Project(s)",</v>
      </c>
    </row>
    <row r="122" spans="2:2">
      <c r="B122" s="9" t="str">
        <f>IF(ISBLANK(box2metadata!$I122),"",""""&amp;$A$2&amp;box2metadata!$A122&amp;"."&amp;IF(ISBLANK(box2metadata!$F122),box2metadata!$E122,box2metadata!$F122)&amp;""": """&amp;box2metadata!$I122&amp;""",")</f>
        <v>"layout.field.label.Product.dc.relation.funding": "Funding(s)",</v>
      </c>
    </row>
    <row r="123" spans="2:2">
      <c r="B123" s="9" t="str">
        <f>IF(ISBLANK(box2metadata!$I123),"",""""&amp;$A$2&amp;box2metadata!$A123&amp;"."&amp;IF(ISBLANK(box2metadata!$F123),box2metadata!$E123,box2metadata!$F123)&amp;""": """&amp;box2metadata!$I123&amp;""",")</f>
        <v>"layout.field.label.Product.dc.relation.publication": "Used by the publication(s)",</v>
      </c>
    </row>
    <row r="124" spans="2:2">
      <c r="B124" s="9" t="str">
        <f>IF(ISBLANK(box2metadata!$I124),"",""""&amp;$A$2&amp;box2metadata!$A124&amp;"."&amp;IF(ISBLANK(box2metadata!$F124),box2metadata!$E124,box2metadata!$F124)&amp;""": """&amp;box2metadata!$I124&amp;""",")</f>
        <v>"layout.field.label.Patent.dc.title": "Title",</v>
      </c>
    </row>
    <row r="125" spans="2:2">
      <c r="B125" s="9" t="str">
        <f>IF(ISBLANK(box2metadata!$I125),"",""""&amp;$A$2&amp;box2metadata!$A125&amp;"."&amp;IF(ISBLANK(box2metadata!$F125),box2metadata!$E125,box2metadata!$F125)&amp;""": """&amp;box2metadata!$I125&amp;""",")</f>
        <v>"layout.field.label.Patent.dc.relation.ispartof": "Journal",</v>
      </c>
    </row>
    <row r="126" spans="2:2">
      <c r="B126" s="9" t="str">
        <f>IF(ISBLANK(box2metadata!$I126),"",""""&amp;$A$2&amp;box2metadata!$A126&amp;"."&amp;IF(ISBLANK(box2metadata!$F126),box2metadata!$E126,box2metadata!$F126)&amp;""": """&amp;box2metadata!$I126&amp;""",")</f>
        <v>"layout.field.label.Patent.dc.relation.issn": "ISSN",</v>
      </c>
    </row>
    <row r="127" spans="2:2">
      <c r="B127" s="9" t="str">
        <f>IF(ISBLANK(box2metadata!$I127),"",""""&amp;$A$2&amp;box2metadata!$A127&amp;"."&amp;IF(ISBLANK(box2metadata!$F127),box2metadata!$E127,box2metadata!$F127)&amp;""": """&amp;box2metadata!$I127&amp;""",")</f>
        <v>"layout.field.label.Patent.dc.date.issued": "Date Issued",</v>
      </c>
    </row>
    <row r="128" spans="2:2">
      <c r="B128" s="9" t="str">
        <f>IF(ISBLANK(box2metadata!$I128),"",""""&amp;$A$2&amp;box2metadata!$A128&amp;"."&amp;IF(ISBLANK(box2metadata!$F128),box2metadata!$E128,box2metadata!$F128)&amp;""": """&amp;box2metadata!$I128&amp;""",")</f>
        <v>"layout.field.label.Patent.dc.contributor.author": "Author(s)",</v>
      </c>
    </row>
    <row r="129" spans="2:2">
      <c r="B129" s="9" t="str">
        <f>IF(ISBLANK(box2metadata!$I129),"",""""&amp;$A$2&amp;box2metadata!$A129&amp;"."&amp;IF(ISBLANK(box2metadata!$F129),box2metadata!$E129,box2metadata!$F129)&amp;""": """&amp;box2metadata!$I129&amp;""",")</f>
        <v>"layout.field.label.Patent.dc.identifier.patentno": "DOI",</v>
      </c>
    </row>
    <row r="130" spans="2:2">
      <c r="B130" s="9" t="str">
        <f>IF(ISBLANK(box2metadata!$I130),"",""""&amp;$A$2&amp;box2metadata!$A130&amp;"."&amp;IF(ISBLANK(box2metadata!$F130),box2metadata!$E130,box2metadata!$F130)&amp;""": """&amp;box2metadata!$I130&amp;""",")</f>
        <v>"layout.field.label.Patent.dc.description.abstract": "Abstract",</v>
      </c>
    </row>
    <row r="131" spans="2:2">
      <c r="B131" s="9" t="str">
        <f>IF(ISBLANK(box2metadata!$I131),"",""""&amp;$A$2&amp;box2metadata!$A131&amp;"."&amp;IF(ISBLANK(box2metadata!$F131),box2metadata!$E131,box2metadata!$F131)&amp;""": """&amp;box2metadata!$I131&amp;""",")</f>
        <v>"layout.field.label.Patent.dc.relation.project": "Project(s)",</v>
      </c>
    </row>
    <row r="132" spans="2:2">
      <c r="B132" s="9" t="str">
        <f>IF(ISBLANK(box2metadata!$I132),"",""""&amp;$A$2&amp;box2metadata!$A132&amp;"."&amp;IF(ISBLANK(box2metadata!$F132),box2metadata!$E132,box2metadata!$F132)&amp;""": """&amp;box2metadata!$I132&amp;""",")</f>
        <v>"layout.field.label.Patent.dc.relation.funding": "Funding(s)",</v>
      </c>
    </row>
    <row r="133" spans="2:2">
      <c r="B133" s="9" t="str">
        <f>IF(ISBLANK(box2metadata!$I133),"",""""&amp;$A$2&amp;box2metadata!$A133&amp;"."&amp;IF(ISBLANK(box2metadata!$F133),box2metadata!$E133,box2metadata!$F133)&amp;""": """&amp;box2metadata!$I133&amp;""",")</f>
        <v>"layout.field.label.Patent.dc.subject": "Subjects",</v>
      </c>
    </row>
    <row r="134" spans="2:2">
      <c r="B134" s="9" t="str">
        <f>IF(ISBLANK(box2metadata!$I134),"",""""&amp;$A$2&amp;box2metadata!$A134&amp;"."&amp;IF(ISBLANK(box2metadata!$F134),box2metadata!$E134,box2metadata!$F134)&amp;""": """&amp;box2metadata!$I134&amp;""",")</f>
        <v>"layout.field.label.Patent.BITSTREAM": "File(s)",</v>
      </c>
    </row>
    <row r="135" spans="2:2">
      <c r="B135" s="9" t="str">
        <f>IF(ISBLANK(box2metadata!$I135),"",""""&amp;$A$2&amp;box2metadata!$A135&amp;"."&amp;box2metadata!$F135&amp;""": """&amp;IF(ISBLANK(box2metadata!$I135),box2metadata!$E135,box2metadata!$I135)&amp;""",")</f>
        <v/>
      </c>
    </row>
    <row r="136" spans="2:2">
      <c r="B136" s="9" t="str">
        <f>IF(ISBLANK(box2metadata!$I136),"",""""&amp;$A$2&amp;box2metadata!$A136&amp;"."&amp;box2metadata!$F136&amp;""": """&amp;IF(ISBLANK(box2metadata!$I136),box2metadata!$E136,box2metadata!$I136)&amp;""",")</f>
        <v/>
      </c>
    </row>
    <row r="137" spans="2:2">
      <c r="B137" s="9" t="str">
        <f>IF(ISBLANK(box2metadata!$I137),"",""""&amp;$A$2&amp;box2metadata!$A137&amp;"."&amp;box2metadata!$F137&amp;""": """&amp;IF(ISBLANK(box2metadata!$I137),box2metadata!$E137,box2metadata!$I137)&amp;""",")</f>
        <v/>
      </c>
    </row>
    <row r="138" spans="2:2">
      <c r="B138" s="9" t="str">
        <f>IF(ISBLANK(box2metadata!$I138),"",""""&amp;$A$2&amp;box2metadata!$A138&amp;"."&amp;box2metadata!$F138&amp;""": """&amp;IF(ISBLANK(box2metadata!$I138),box2metadata!$E138,box2metadata!$I138)&amp;""",")</f>
        <v/>
      </c>
    </row>
    <row r="139" spans="2:2">
      <c r="B139" s="9" t="str">
        <f>IF(ISBLANK(box2metadata!$I139),"",""""&amp;$A$2&amp;box2metadata!$A139&amp;"."&amp;box2metadata!$F139&amp;""": """&amp;IF(ISBLANK(box2metadata!$I139),box2metadata!$E139,box2metadata!$I139)&amp;""",")</f>
        <v/>
      </c>
    </row>
    <row r="140" spans="2:2">
      <c r="B140" s="9" t="str">
        <f>IF(ISBLANK(box2metadata!$I140),"",""""&amp;$A$2&amp;box2metadata!$A140&amp;"."&amp;box2metadata!$F140&amp;""": """&amp;IF(ISBLANK(box2metadata!$I140),box2metadata!$E140,box2metadata!$I140)&amp;""",")</f>
        <v/>
      </c>
    </row>
    <row r="141" spans="2:2">
      <c r="B141" s="9" t="str">
        <f>IF(ISBLANK(box2metadata!$I141),"",""""&amp;$A$2&amp;box2metadata!$A141&amp;"."&amp;box2metadata!$F141&amp;""": """&amp;IF(ISBLANK(box2metadata!$I141),box2metadata!$E141,box2metadata!$I141)&amp;""",")</f>
        <v/>
      </c>
    </row>
    <row r="142" spans="2:2">
      <c r="B142" s="9" t="str">
        <f>IF(ISBLANK(box2metadata!$I142),"",""""&amp;$A$2&amp;box2metadata!$A142&amp;"."&amp;box2metadata!$F142&amp;""": """&amp;IF(ISBLANK(box2metadata!$I142),box2metadata!$E142,box2metadata!$I142)&amp;""",")</f>
        <v/>
      </c>
    </row>
    <row r="143" spans="2:2">
      <c r="B143" s="9" t="str">
        <f>IF(ISBLANK(box2metadata!$I143),"",""""&amp;$A$2&amp;box2metadata!$A143&amp;"."&amp;box2metadata!$F143&amp;""": """&amp;IF(ISBLANK(box2metadata!$I143),box2metadata!$E143,box2metadata!$I143)&amp;""",")</f>
        <v/>
      </c>
    </row>
    <row r="144" spans="2:2">
      <c r="B144" s="9" t="str">
        <f>IF(ISBLANK(box2metadata!$I144),"",""""&amp;$A$2&amp;box2metadata!$A144&amp;"."&amp;box2metadata!$F144&amp;""": """&amp;IF(ISBLANK(box2metadata!$I144),box2metadata!$E144,box2metadata!$I144)&amp;""",")</f>
        <v/>
      </c>
    </row>
    <row r="145" spans="2:2">
      <c r="B145" s="9" t="str">
        <f>IF(ISBLANK(box2metadata!$I145),"",""""&amp;$A$2&amp;box2metadata!$A145&amp;"."&amp;box2metadata!$F145&amp;""": """&amp;IF(ISBLANK(box2metadata!$I145),box2metadata!$E145,box2metadata!$I145)&amp;""",")</f>
        <v/>
      </c>
    </row>
    <row r="146" spans="2:2">
      <c r="B146" s="9" t="str">
        <f>IF(ISBLANK(box2metadata!$I146),"",""""&amp;$A$2&amp;box2metadata!$A146&amp;"."&amp;box2metadata!$F146&amp;""": """&amp;IF(ISBLANK(box2metadata!$I146),box2metadata!$E146,box2metadata!$I146)&amp;""",")</f>
        <v/>
      </c>
    </row>
    <row r="147" spans="2:2">
      <c r="B147" s="9" t="str">
        <f>IF(ISBLANK(box2metadata!$I147),"",""""&amp;$A$2&amp;box2metadata!$A147&amp;"."&amp;box2metadata!$F147&amp;""": """&amp;IF(ISBLANK(box2metadata!$I147),box2metadata!$E147,box2metadata!$I147)&amp;""",")</f>
        <v/>
      </c>
    </row>
    <row r="148" spans="2:2">
      <c r="B148" s="9" t="str">
        <f>IF(ISBLANK(box2metadata!$I148),"",""""&amp;$A$2&amp;box2metadata!$A148&amp;"."&amp;box2metadata!$F148&amp;""": """&amp;IF(ISBLANK(box2metadata!$I148),box2metadata!$E148,box2metadata!$I148)&amp;""",")</f>
        <v/>
      </c>
    </row>
    <row r="149" spans="2:2">
      <c r="B149" s="9" t="str">
        <f>IF(ISBLANK(box2metadata!$I149),"",""""&amp;$A$2&amp;box2metadata!$A149&amp;"."&amp;box2metadata!$F149&amp;""": """&amp;IF(ISBLANK(box2metadata!$I149),box2metadata!$E149,box2metadata!$I149)&amp;""",")</f>
        <v/>
      </c>
    </row>
    <row r="150" spans="2:2">
      <c r="B150" s="9" t="str">
        <f>IF(ISBLANK(box2metadata!$I150),"",""""&amp;$A$2&amp;box2metadata!$A150&amp;"."&amp;box2metadata!$F150&amp;""": """&amp;IF(ISBLANK(box2metadata!$I150),box2metadata!$E150,box2metadata!$I150)&amp;""",")</f>
        <v/>
      </c>
    </row>
    <row r="151" spans="2:2">
      <c r="B151" s="9" t="str">
        <f>IF(ISBLANK(box2metadata!$I151),"",""""&amp;$A$2&amp;box2metadata!$A151&amp;"."&amp;box2metadata!$F151&amp;""": """&amp;IF(ISBLANK(box2metadata!$I151),box2metadata!$E151,box2metadata!$I151)&amp;""",")</f>
        <v/>
      </c>
    </row>
    <row r="152" spans="2:2">
      <c r="B152" s="9" t="str">
        <f>IF(ISBLANK(box2metadata!$I152),"",""""&amp;$A$2&amp;box2metadata!$A152&amp;"."&amp;box2metadata!$F152&amp;""": """&amp;IF(ISBLANK(box2metadata!$I152),box2metadata!$E152,box2metadata!$I152)&amp;""",")</f>
        <v/>
      </c>
    </row>
    <row r="153" spans="2:2">
      <c r="B153" s="9" t="str">
        <f>IF(ISBLANK(box2metadata!$I153),"",""""&amp;$A$2&amp;box2metadata!$A153&amp;"."&amp;box2metadata!$F153&amp;""": """&amp;IF(ISBLANK(box2metadata!$I153),box2metadata!$E153,box2metadata!$I153)&amp;""",")</f>
        <v/>
      </c>
    </row>
    <row r="154" spans="2:2">
      <c r="B154" s="9" t="str">
        <f>IF(ISBLANK(box2metadata!$I154),"",""""&amp;$A$2&amp;box2metadata!$A154&amp;"."&amp;box2metadata!$F154&amp;""": """&amp;IF(ISBLANK(box2metadata!$I154),box2metadata!$E154,box2metadata!$I154)&amp;""",")</f>
        <v/>
      </c>
    </row>
    <row r="155" spans="2:2">
      <c r="B155" s="9" t="str">
        <f>IF(ISBLANK(box2metadata!$I155),"",""""&amp;$A$2&amp;box2metadata!$A155&amp;"."&amp;box2metadata!$F155&amp;""": """&amp;IF(ISBLANK(box2metadata!$I155),box2metadata!$E155,box2metadata!$I155)&amp;""",")</f>
        <v/>
      </c>
    </row>
    <row r="156" spans="2:2">
      <c r="B156" s="9" t="str">
        <f>IF(ISBLANK(box2metadata!$I156),"",""""&amp;$A$2&amp;box2metadata!$A156&amp;"."&amp;box2metadata!$F156&amp;""": """&amp;IF(ISBLANK(box2metadata!$I156),box2metadata!$E156,box2metadata!$I156)&amp;""",")</f>
        <v/>
      </c>
    </row>
    <row r="157" spans="2:2">
      <c r="B157" s="9" t="str">
        <f>IF(ISBLANK(box2metadata!$I157),"",""""&amp;$A$2&amp;box2metadata!$A157&amp;"."&amp;box2metadata!$F157&amp;""": """&amp;IF(ISBLANK(box2metadata!$I157),box2metadata!$E157,box2metadata!$I157)&amp;""",")</f>
        <v/>
      </c>
    </row>
    <row r="158" spans="2:2">
      <c r="B158" s="9" t="str">
        <f>IF(ISBLANK(box2metadata!$I158),"",""""&amp;$A$2&amp;box2metadata!$A158&amp;"."&amp;box2metadata!$F158&amp;""": """&amp;IF(ISBLANK(box2metadata!$I158),box2metadata!$E158,box2metadata!$I158)&amp;""",")</f>
        <v/>
      </c>
    </row>
    <row r="159" spans="2:2">
      <c r="B159" s="9" t="str">
        <f>IF(ISBLANK(box2metadata!$I159),"",""""&amp;$A$2&amp;box2metadata!$A159&amp;"."&amp;box2metadata!$F159&amp;""": """&amp;IF(ISBLANK(box2metadata!$I159),box2metadata!$E159,box2metadata!$I159)&amp;""",")</f>
        <v/>
      </c>
    </row>
    <row r="160" spans="2:2">
      <c r="B160" s="9" t="str">
        <f>IF(ISBLANK(box2metadata!$I160),"",""""&amp;$A$2&amp;box2metadata!$A160&amp;"."&amp;box2metadata!$F160&amp;""": """&amp;IF(ISBLANK(box2metadata!$I160),box2metadata!$E160,box2metadata!$I160)&amp;""",")</f>
        <v/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50"/>
  <sheetViews>
    <sheetView zoomScale="120" zoomScaleNormal="120" workbookViewId="0">
      <pane ySplit="1" topLeftCell="A2" activePane="bottomLeft" state="frozen"/>
      <selection pane="bottomLeft"/>
    </sheetView>
  </sheetViews>
  <sheetFormatPr defaultColWidth="11.42578125" defaultRowHeight="12.75"/>
  <cols>
    <col min="1" max="1" width="15.7109375" customWidth="1"/>
    <col min="2" max="2" width="58.5703125" customWidth="1"/>
  </cols>
  <sheetData>
    <row r="1" spans="1:2">
      <c r="A1" s="1" t="s">
        <v>407</v>
      </c>
      <c r="B1" s="8" t="s">
        <v>408</v>
      </c>
    </row>
    <row r="2" spans="1:2">
      <c r="A2" t="s">
        <v>412</v>
      </c>
      <c r="B2" s="9" t="str">
        <f>IF(ISBLANK(metadatagroups!$D2),"",""""&amp;$A$2&amp;metadatagroups!$A2&amp;"."&amp;metadatagroups!$D2&amp;""": """&amp;metadatagroups!$G2&amp;""",")</f>
        <v>"layout.field.label.Person.crisrp.qualification": "Title",</v>
      </c>
    </row>
    <row r="3" spans="1:2">
      <c r="B3" s="9" t="str">
        <f>IF(ISBLANK(metadatagroups!$D3),"",""""&amp;$A$2&amp;metadatagroups!$A3&amp;"."&amp;metadatagroups!$D3&amp;""": """&amp;metadatagroups!$G3&amp;""",")</f>
        <v>"layout.field.label.Person.crisrp.qualification.start": "Start",</v>
      </c>
    </row>
    <row r="4" spans="1:2">
      <c r="B4" s="9" t="str">
        <f>IF(ISBLANK(metadatagroups!$D4),"",""""&amp;$A$2&amp;metadatagroups!$A4&amp;"."&amp;metadatagroups!$D4&amp;""": """&amp;metadatagroups!$G4&amp;""",")</f>
        <v>"layout.field.label.Person.crisrp.qualification.end": "End",</v>
      </c>
    </row>
    <row r="5" spans="1:2">
      <c r="B5" s="9" t="str">
        <f>IF(ISBLANK(metadatagroups!$D5),"",""""&amp;$A$2&amp;metadatagroups!$A5&amp;"."&amp;metadatagroups!$D5&amp;""": """&amp;metadatagroups!$G5&amp;""",")</f>
        <v>"layout.field.label.Person.oairecerif.affiliation.role": "Role",</v>
      </c>
    </row>
    <row r="6" spans="1:2">
      <c r="B6" s="9" t="str">
        <f>IF(ISBLANK(metadatagroups!$D6),"",""""&amp;$A$2&amp;metadatagroups!$A6&amp;"."&amp;metadatagroups!$D6&amp;""": """&amp;metadatagroups!$G6&amp;""",")</f>
        <v>"layout.field.label.Person.oairecerif.person.affiliation": "Organisation",</v>
      </c>
    </row>
    <row r="7" spans="1:2">
      <c r="B7" s="9" t="str">
        <f>IF(ISBLANK(metadatagroups!$D7),"",""""&amp;$A$2&amp;metadatagroups!$A7&amp;"."&amp;metadatagroups!$D7&amp;""": """&amp;metadatagroups!$G7&amp;""",")</f>
        <v>"layout.field.label.Person.oairecerif.affiliation.startDate": "Start",</v>
      </c>
    </row>
    <row r="8" spans="1:2">
      <c r="B8" s="9" t="str">
        <f>IF(ISBLANK(metadatagroups!$D8),"",""""&amp;$A$2&amp;metadatagroups!$A8&amp;"."&amp;metadatagroups!$D8&amp;""": """&amp;metadatagroups!$G8&amp;""",")</f>
        <v>"layout.field.label.Person.oairecerif.affiliation.endDate": "End",</v>
      </c>
    </row>
    <row r="9" spans="1:2">
      <c r="B9" s="9" t="str">
        <f>IF(ISBLANK(metadatagroups!$D9),"",""""&amp;$A$2&amp;metadatagroups!$A9&amp;"."&amp;metadatagroups!$D9&amp;""": """&amp;metadatagroups!$G9&amp;""",")</f>
        <v>"layout.field.label.Person.crisrp.education.role": "Role",</v>
      </c>
    </row>
    <row r="10" spans="1:2">
      <c r="B10" s="9" t="str">
        <f>IF(ISBLANK(metadatagroups!$D10),"",""""&amp;$A$2&amp;metadatagroups!$A10&amp;"."&amp;metadatagroups!$D10&amp;""": """&amp;metadatagroups!$G10&amp;""",")</f>
        <v>"layout.field.label.Person.crisrp.education": "Organisation",</v>
      </c>
    </row>
    <row r="11" spans="1:2">
      <c r="B11" s="9" t="str">
        <f>IF(ISBLANK(metadatagroups!$D11),"",""""&amp;$A$2&amp;metadatagroups!$A11&amp;"."&amp;metadatagroups!$D11&amp;""": """&amp;metadatagroups!$G11&amp;""",")</f>
        <v>"layout.field.label.Person.crisrp.education.start": "Start",</v>
      </c>
    </row>
    <row r="12" spans="1:2">
      <c r="B12" s="9" t="str">
        <f>IF(ISBLANK(metadatagroups!$D12),"",""""&amp;$A$2&amp;metadatagroups!$A12&amp;"."&amp;metadatagroups!$D12&amp;""": """&amp;metadatagroups!$G12&amp;""",")</f>
        <v>"layout.field.label.Person.crisrp.education.end": "End",</v>
      </c>
    </row>
    <row r="13" spans="1:2">
      <c r="B13" s="9" t="str">
        <f>IF(ISBLANK(metadatagroups!$D13),"",""""&amp;$A$2&amp;metadatagroups!$A13&amp;"."&amp;metadatagroups!$D13&amp;""": """&amp;metadatagroups!$G13&amp;""",")</f>
        <v>"layout.field.label.Publication.dc.contributor.author": "Author",</v>
      </c>
    </row>
    <row r="14" spans="1:2">
      <c r="B14" s="9" t="str">
        <f>IF(ISBLANK(metadatagroups!$D14),"",""""&amp;$A$2&amp;metadatagroups!$A14&amp;"."&amp;metadatagroups!$D14&amp;""": """&amp;metadatagroups!$G14&amp;""",")</f>
        <v>"layout.field.label.Publication.oairecerif.author.affiliation": "Affiliation",</v>
      </c>
    </row>
    <row r="15" spans="1:2">
      <c r="B15" s="9" t="str">
        <f>IF(ISBLANK(metadatagroups!$D15),"",""""&amp;$A$2&amp;metadatagroups!$A15&amp;"."&amp;metadatagroups!$D15&amp;""": """&amp;metadatagroups!$G15&amp;""",")</f>
        <v>"layout.field.label.Publication.dc.contributor.editor": "Editor",</v>
      </c>
    </row>
    <row r="16" spans="1:2">
      <c r="B16" s="9" t="str">
        <f>IF(ISBLANK(metadatagroups!$D16),"",""""&amp;$A$2&amp;metadatagroups!$A16&amp;"."&amp;metadatagroups!$D16&amp;""": """&amp;metadatagroups!$G16&amp;""",")</f>
        <v>"layout.field.label.Publication.oairecerif.editor.affiliation": "Affiliation",</v>
      </c>
    </row>
    <row r="17" spans="2:2">
      <c r="B17" s="9" t="str">
        <f>IF(ISBLANK(metadatagroups!$D17),"",""""&amp;$A$2&amp;metadatagroups!$A17&amp;"."&amp;metadatagroups!$D17&amp;""": """&amp;metadatagroups!$G17&amp;""",")</f>
        <v>"layout.field.label.Product.dc.contributor.author": "Creator",</v>
      </c>
    </row>
    <row r="18" spans="2:2">
      <c r="B18" s="9" t="str">
        <f>IF(ISBLANK(metadatagroups!$D18),"",""""&amp;$A$2&amp;metadatagroups!$A18&amp;"."&amp;metadatagroups!$D18&amp;""": """&amp;metadatagroups!$G18&amp;""",")</f>
        <v>"layout.field.label.Product.oairecerif.author.affiliation": "Affiliation",</v>
      </c>
    </row>
    <row r="19" spans="2:2">
      <c r="B19" s="9" t="str">
        <f>IF(ISBLANK(metadatagroups!$D19),"",""""&amp;$A$2&amp;metadatagroups!$A19&amp;"."&amp;metadatagroups!$D19&amp;""": """&amp;metadatagroups!$G19&amp;""",")</f>
        <v>"layout.field.label.Product.dc.relation.publication": "",</v>
      </c>
    </row>
    <row r="20" spans="2:2">
      <c r="B20" s="9" t="str">
        <f>IF(ISBLANK(metadatagroups!$D20),"",""""&amp;$A$2&amp;metadatagroups!$A20&amp;"."&amp;metadatagroups!$D20&amp;""": """&amp;metadatagroups!$G20&amp;""",")</f>
        <v>"layout.field.label.Product.dc.relation.doi": "",</v>
      </c>
    </row>
    <row r="21" spans="2:2">
      <c r="B21" s="9" t="str">
        <f>IF(ISBLANK(metadatagroups!$D21),"",""""&amp;$A$2&amp;metadatagroups!$A21&amp;"."&amp;metadatagroups!$D21&amp;""": """&amp;metadatagroups!$G21&amp;""",")</f>
        <v>"layout.field.label.Patent.dc.contributor.author": "Inventor",</v>
      </c>
    </row>
    <row r="22" spans="2:2">
      <c r="B22" s="9" t="str">
        <f>IF(ISBLANK(metadatagroups!$D22),"",""""&amp;$A$2&amp;metadatagroups!$A22&amp;"."&amp;metadatagroups!$D22&amp;""": """&amp;metadatagroups!$G22&amp;""",")</f>
        <v>"layout.field.label.Patent.oairecerif.author.affiliation": "Affiliation",</v>
      </c>
    </row>
    <row r="23" spans="2:2">
      <c r="B23" s="9" t="str">
        <f>IF(ISBLANK(metadatagroups!$D23),"",""""&amp;$A$2&amp;metadatagroups!$A23&amp;"."&amp;metadatagroups!$D23&amp;""": """&amp;metadatagroups!$G23&amp;""",")</f>
        <v/>
      </c>
    </row>
    <row r="24" spans="2:2">
      <c r="B24" s="9" t="str">
        <f>IF(ISBLANK(metadatagroups!$D24),"",""""&amp;$A$2&amp;metadatagroups!$A24&amp;"."&amp;metadatagroups!$D24&amp;""": """&amp;metadatagroups!$G24&amp;""",")</f>
        <v/>
      </c>
    </row>
    <row r="25" spans="2:2">
      <c r="B25" s="9" t="str">
        <f>IF(ISBLANK(metadatagroups!$D25),"",""""&amp;$A$2&amp;metadatagroups!$A25&amp;"."&amp;metadatagroups!$D25&amp;""": """&amp;metadatagroups!$G25&amp;""",")</f>
        <v/>
      </c>
    </row>
    <row r="26" spans="2:2">
      <c r="B26" s="9" t="str">
        <f>IF(ISBLANK(metadatagroups!$D26),"",""""&amp;$A$2&amp;metadatagroups!$A26&amp;"."&amp;metadatagroups!$D26&amp;""": """&amp;metadatagroups!$G26&amp;""",")</f>
        <v/>
      </c>
    </row>
    <row r="27" spans="2:2">
      <c r="B27" s="9" t="str">
        <f>IF(ISBLANK(metadatagroups!$D27),"",""""&amp;$A$2&amp;metadatagroups!$A27&amp;"."&amp;metadatagroups!$D27&amp;""": """&amp;metadatagroups!$G27&amp;""",")</f>
        <v/>
      </c>
    </row>
    <row r="28" spans="2:2">
      <c r="B28" s="9" t="str">
        <f>IF(ISBLANK(metadatagroups!$D28),"",""""&amp;$A$2&amp;metadatagroups!$A28&amp;"."&amp;metadatagroups!$D28&amp;""": """&amp;metadatagroups!$G28&amp;""",")</f>
        <v/>
      </c>
    </row>
    <row r="29" spans="2:2">
      <c r="B29" s="9" t="str">
        <f>IF(ISBLANK(metadatagroups!$D29),"",""""&amp;$A$2&amp;metadatagroups!$A29&amp;"."&amp;metadatagroups!$D29&amp;""": """&amp;metadatagroups!$G29&amp;""",")</f>
        <v/>
      </c>
    </row>
    <row r="30" spans="2:2">
      <c r="B30" s="9" t="str">
        <f>IF(ISBLANK(metadatagroups!$D30),"",""""&amp;$A$2&amp;metadatagroups!$A30&amp;"."&amp;metadatagroups!$D30&amp;""": """&amp;metadatagroups!$G30&amp;""",")</f>
        <v/>
      </c>
    </row>
    <row r="31" spans="2:2">
      <c r="B31" s="9" t="str">
        <f>IF(ISBLANK(metadatagroups!$D31),"",""""&amp;$A$2&amp;metadatagroups!$A31&amp;"."&amp;metadatagroups!$D31&amp;""": """&amp;metadatagroups!$G31&amp;""",")</f>
        <v/>
      </c>
    </row>
    <row r="32" spans="2:2">
      <c r="B32" s="9" t="str">
        <f>IF(ISBLANK(metadatagroups!$D32),"",""""&amp;$A$2&amp;metadatagroups!$A32&amp;"."&amp;metadatagroups!$D32&amp;""": """&amp;metadatagroups!$G32&amp;""",")</f>
        <v/>
      </c>
    </row>
    <row r="33" spans="2:2">
      <c r="B33" s="9" t="str">
        <f>IF(ISBLANK(metadatagroups!$D33),"",""""&amp;$A$2&amp;metadatagroups!$A33&amp;"."&amp;metadatagroups!$D33&amp;""": """&amp;metadatagroups!$G33&amp;""",")</f>
        <v/>
      </c>
    </row>
    <row r="34" spans="2:2">
      <c r="B34" s="9" t="str">
        <f>IF(ISBLANK(metadatagroups!$D34),"",""""&amp;$A$2&amp;metadatagroups!$A34&amp;"."&amp;metadatagroups!$D34&amp;""": """&amp;metadatagroups!$G34&amp;""",")</f>
        <v/>
      </c>
    </row>
    <row r="35" spans="2:2">
      <c r="B35" s="9" t="str">
        <f>IF(ISBLANK(metadatagroups!$D35),"",""""&amp;$A$2&amp;metadatagroups!$A35&amp;"."&amp;metadatagroups!$D35&amp;""": """&amp;metadatagroups!$G35&amp;""",")</f>
        <v/>
      </c>
    </row>
    <row r="36" spans="2:2">
      <c r="B36" s="9" t="str">
        <f>IF(ISBLANK(metadatagroups!$D36),"",""""&amp;$A$2&amp;metadatagroups!$A36&amp;"."&amp;metadatagroups!$D36&amp;""": """&amp;metadatagroups!$G36&amp;""",")</f>
        <v/>
      </c>
    </row>
    <row r="37" spans="2:2">
      <c r="B37" s="9" t="str">
        <f>IF(ISBLANK(metadatagroups!$D37),"",""""&amp;$A$2&amp;metadatagroups!$A37&amp;"."&amp;metadatagroups!$D37&amp;""": """&amp;metadatagroups!$G37&amp;""",")</f>
        <v/>
      </c>
    </row>
    <row r="38" spans="2:2">
      <c r="B38" s="9" t="str">
        <f>IF(ISBLANK(metadatagroups!$D38),"",""""&amp;$A$2&amp;metadatagroups!$A38&amp;"."&amp;metadatagroups!$D38&amp;""": """&amp;metadatagroups!$G38&amp;""",")</f>
        <v/>
      </c>
    </row>
    <row r="39" spans="2:2">
      <c r="B39" s="9" t="str">
        <f>IF(ISBLANK(metadatagroups!$D39),"",""""&amp;$A$2&amp;metadatagroups!$A39&amp;"."&amp;metadatagroups!$D39&amp;""": """&amp;metadatagroups!$G39&amp;""",")</f>
        <v/>
      </c>
    </row>
    <row r="40" spans="2:2">
      <c r="B40" s="9" t="str">
        <f>IF(ISBLANK(metadatagroups!$D40),"",""""&amp;$A$2&amp;metadatagroups!$A40&amp;"."&amp;metadatagroups!$D40&amp;""": """&amp;metadatagroups!$G40&amp;""",")</f>
        <v/>
      </c>
    </row>
    <row r="41" spans="2:2">
      <c r="B41" s="9" t="str">
        <f>IF(ISBLANK(metadatagroups!$D41),"",""""&amp;$A$2&amp;metadatagroups!$A41&amp;"."&amp;metadatagroups!$D41&amp;""": """&amp;metadatagroups!$G41&amp;""",")</f>
        <v/>
      </c>
    </row>
    <row r="42" spans="2:2">
      <c r="B42" s="9" t="str">
        <f>IF(ISBLANK(metadatagroups!$D42),"",""""&amp;$A$2&amp;metadatagroups!$A42&amp;"."&amp;metadatagroups!$D42&amp;""": """&amp;metadatagroups!$G42&amp;""",")</f>
        <v/>
      </c>
    </row>
    <row r="43" spans="2:2">
      <c r="B43" s="9" t="str">
        <f>IF(ISBLANK(metadatagroups!$D43),"",""""&amp;$A$2&amp;metadatagroups!$A43&amp;"."&amp;metadatagroups!$D43&amp;""": """&amp;metadatagroups!$G43&amp;""",")</f>
        <v/>
      </c>
    </row>
    <row r="44" spans="2:2">
      <c r="B44" s="9" t="str">
        <f>IF(ISBLANK(metadatagroups!$D44),"",""""&amp;$A$2&amp;metadatagroups!$A44&amp;"."&amp;metadatagroups!$D44&amp;""": """&amp;metadatagroups!$G44&amp;""",")</f>
        <v/>
      </c>
    </row>
    <row r="45" spans="2:2">
      <c r="B45" s="9" t="str">
        <f>IF(ISBLANK(metadatagroups!$D45),"",""""&amp;$A$2&amp;metadatagroups!$A45&amp;"."&amp;metadatagroups!$D45&amp;""": """&amp;metadatagroups!$G45&amp;""",")</f>
        <v/>
      </c>
    </row>
    <row r="46" spans="2:2">
      <c r="B46" s="9" t="str">
        <f>IF(ISBLANK(metadatagroups!$D46),"",""""&amp;$A$2&amp;metadatagroups!$A46&amp;"."&amp;metadatagroups!$D46&amp;""": """&amp;metadatagroups!$G46&amp;""",")</f>
        <v/>
      </c>
    </row>
    <row r="47" spans="2:2">
      <c r="B47" s="9" t="str">
        <f>IF(ISBLANK(metadatagroups!$D47),"",""""&amp;$A$2&amp;metadatagroups!$A47&amp;"."&amp;metadatagroups!$D47&amp;""": """&amp;metadatagroups!$G47&amp;""",")</f>
        <v/>
      </c>
    </row>
    <row r="48" spans="2:2">
      <c r="B48" s="9" t="str">
        <f>IF(ISBLANK(metadatagroups!$D48),"",""""&amp;$A$2&amp;metadatagroups!$A48&amp;"."&amp;metadatagroups!$D48&amp;""": """&amp;metadatagroups!$G48&amp;""",")</f>
        <v/>
      </c>
    </row>
    <row r="49" spans="2:2">
      <c r="B49" s="9" t="str">
        <f>IF(ISBLANK(metadatagroups!$D49),"",""""&amp;$A$2&amp;metadatagroups!$A49&amp;"."&amp;metadatagroups!$D49&amp;""": """&amp;metadatagroups!$G49&amp;""",")</f>
        <v/>
      </c>
    </row>
    <row r="50" spans="2:2">
      <c r="B50" s="9" t="str">
        <f>IF(ISBLANK(metadatagroups!$D50),"",""""&amp;$A$2&amp;metadatagroups!$A50&amp;"."&amp;metadatagroups!$D50&amp;""": """&amp;metadatagroups!$G50&amp;""",")</f>
        <v/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Claudio Cortese</dc:creator>
  <cp:keywords/>
  <dc:description/>
  <cp:lastModifiedBy>X</cp:lastModifiedBy>
  <cp:revision/>
  <dcterms:created xsi:type="dcterms:W3CDTF">2022-08-02T15:35:09Z</dcterms:created>
  <dcterms:modified xsi:type="dcterms:W3CDTF">2022-08-19T13:10:55Z</dcterms:modified>
  <cp:category/>
  <cp:contentStatus/>
</cp:coreProperties>
</file>